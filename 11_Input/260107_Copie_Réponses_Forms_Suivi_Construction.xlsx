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éponses forms" sheetId="1" r:id="rId4"/>
  </sheets>
  <definedNames>
    <definedName hidden="1" localSheetId="0" name="_xlnm._FilterDatabase">'Réponses forms'!$A$1:$AD$432</definedName>
  </definedNames>
  <calcPr/>
</workbook>
</file>

<file path=xl/sharedStrings.xml><?xml version="1.0" encoding="utf-8"?>
<sst xmlns="http://schemas.openxmlformats.org/spreadsheetml/2006/main" count="2501" uniqueCount="647">
  <si>
    <t>Prix en compte par Samir</t>
  </si>
  <si>
    <t>Commentaire</t>
  </si>
  <si>
    <t>Préciser le type de paiement</t>
  </si>
  <si>
    <t>Horodateur</t>
  </si>
  <si>
    <t>Qui paie? (Dépenses)</t>
  </si>
  <si>
    <t>Montant payé? (Dépenses)</t>
  </si>
  <si>
    <t>Point Walid 22/11/13</t>
  </si>
  <si>
    <t>A qui? (Dépenses)</t>
  </si>
  <si>
    <t>Si besoin préciser le "A qui"</t>
  </si>
  <si>
    <t>Pourquoi? (Dépenses)</t>
  </si>
  <si>
    <t>Si besoin préciser le "Pourquoi"</t>
  </si>
  <si>
    <t>Commentaire dépenses</t>
  </si>
  <si>
    <t>Photos factures</t>
  </si>
  <si>
    <t>Pourquoi? (Devis)</t>
  </si>
  <si>
    <t>Montant total du devis?</t>
  </si>
  <si>
    <t>Devis pour quel lot? (devis)</t>
  </si>
  <si>
    <t>Si besoin préciser le "lot"</t>
  </si>
  <si>
    <t>Devis par qui? (Nom - prénom - Société)</t>
  </si>
  <si>
    <t>Commentaire devis</t>
  </si>
  <si>
    <t>Photos du devis</t>
  </si>
  <si>
    <t>Qui donne le budget?</t>
  </si>
  <si>
    <t>Vers qui?</t>
  </si>
  <si>
    <t>Montant Budget transmis?</t>
  </si>
  <si>
    <t>Point Avec Walid 22/11/13</t>
  </si>
  <si>
    <t>En quel devise?</t>
  </si>
  <si>
    <t>Taux de Change</t>
  </si>
  <si>
    <t>Budget transmis converti en DT</t>
  </si>
  <si>
    <t>Commentaire Budget</t>
  </si>
  <si>
    <t>Adresse e-mail</t>
  </si>
  <si>
    <t>Photo du Transfert</t>
  </si>
  <si>
    <t>Ok</t>
  </si>
  <si>
    <t>Dépense</t>
  </si>
  <si>
    <t>Walid</t>
  </si>
  <si>
    <t>Hdid</t>
  </si>
  <si>
    <t>Samir Maison</t>
  </si>
  <si>
    <t/>
  </si>
  <si>
    <t>Matériel</t>
  </si>
  <si>
    <t>Tiwajni (Matériel)</t>
  </si>
  <si>
    <t>https://drive.google.com/open?id=1TQCGx3saF2eVA2n-BMo1inQkxIpicMle, https://drive.google.com/open?id=1nvvtPyzlv0FvDutSmPA-fGqWhDhwGT-4, https://drive.google.com/open?id=1V39uUq_OH-F949C-u6Aqy-dDQFqiMW8A, https://drive.google.com/open?id=1Ktxyojg9uxwq6KT3NFYHyUE34MuhfxYP, https://drive.google.com/open?id=1tduyczQWBnTrgo6Qdv7SrOsWzvE9B4SF, https://drive.google.com/open?id=1g3MView2nHq8soESlaaaPLkNfxAxRSmH</t>
  </si>
  <si>
    <t>Mounir (Tvx)</t>
  </si>
  <si>
    <t>Commun Garages</t>
  </si>
  <si>
    <t>Facture Basha Hdid</t>
  </si>
  <si>
    <t>198 Samir // 78,5 Garage</t>
  </si>
  <si>
    <t>https://drive.google.com/open?id=1hpmKJZoApiTICGhnmFWp3SkAXfTM3Iae, https://drive.google.com/open?id=1c28iQp6AngZg01yNoRgxs9MV67x-WFie, https://drive.google.com/open?id=11OclKHRg3NLL2WMdoQ_Bf0yi43g9Hfr9</t>
  </si>
  <si>
    <t>Ok le 27/12/2021</t>
  </si>
  <si>
    <t>https://drive.google.com/open?id=1AmZhoJgh83_3u0o819uWeVPmEbd6B5MZ</t>
  </si>
  <si>
    <t>Bousaïd (Matériel)</t>
  </si>
  <si>
    <t>https://drive.google.com/open?id=174b7aU7RQe6V92NU1ryAEfFjMeKwT-Vy, https://drive.google.com/open?id=1W9uF27prMn7zUUsqv2uZwAego-C4ERtQ, https://drive.google.com/open?id=1s0IwzusMoLcC9AYGJQkl1HmUCUpzCdp_</t>
  </si>
  <si>
    <t>Marbre</t>
  </si>
  <si>
    <t>Marbre tala beige Guellala</t>
  </si>
  <si>
    <t>https://drive.google.com/open?id=1sy3ktzj1T4PyVmAz5qHrSZQMOBYCVwHd</t>
  </si>
  <si>
    <t>Peinture Matériel</t>
  </si>
  <si>
    <t>Commun Autre</t>
  </si>
  <si>
    <t>Salon chedly</t>
  </si>
  <si>
    <t>https://drive.google.com/open?id=1SMsFZJf_Mfo_tGkbHV-w5k2l18Uu4D4T, https://drive.google.com/open?id=1oaWQNmRWbrsFM4rblZW4JPJMor5wE4tq</t>
  </si>
  <si>
    <t>https://drive.google.com/open?id=1PDQBGeZNZ-A9OlwdXULv3O8k8fDH7cEx</t>
  </si>
  <si>
    <t>Ok le 28/12/2021</t>
  </si>
  <si>
    <t>Peinture</t>
  </si>
  <si>
    <t>Kais peinture chedly</t>
  </si>
  <si>
    <t>Ok le 11/01/2022</t>
  </si>
  <si>
    <t>https://drive.google.com/open?id=1iafa1hsq4vO17mYzMXRvi5EUaTA6tHp0</t>
  </si>
  <si>
    <t>Remboursement Mounir</t>
  </si>
  <si>
    <t>Cadre fer</t>
  </si>
  <si>
    <t>https://drive.google.com/open?id=1jdkuQ3oP47JiqFBW3ebb3CFqj5AXA93W, https://drive.google.com/open?id=1LZAU58Yv4JQ5UPMRhx8hTh2516Yia1w1</t>
  </si>
  <si>
    <t>Villa chedly</t>
  </si>
  <si>
    <t>Avance pour kais</t>
  </si>
  <si>
    <t>Wissem Autre</t>
  </si>
  <si>
    <t>Salon wissem</t>
  </si>
  <si>
    <t>Stucco pour wissem</t>
  </si>
  <si>
    <t>https://drive.google.com/open?id=17ydCpipn2gBXlODeen3gGZ78m4CfJTR7</t>
  </si>
  <si>
    <t>Ok le 10/02/2022</t>
  </si>
  <si>
    <t>Kais</t>
  </si>
  <si>
    <t>600 wissem et 1200 chedly</t>
  </si>
  <si>
    <t>https://drive.google.com/open?id=1a4SSQx-9TpjEgYXDTeuZD7hMSx94hfEz</t>
  </si>
  <si>
    <t>https://drive.google.com/open?id=1q0EUPB-5im1h9ekJL0voTxmrnK2lhn2m</t>
  </si>
  <si>
    <t>Menuiserie Equipements</t>
  </si>
  <si>
    <t>Equipements bricola - paumelle...</t>
  </si>
  <si>
    <t>https://drive.google.com/open?id=1p6man_lQmmysisgnhZHeUfkqbEBgWZgy</t>
  </si>
  <si>
    <t>14/01/2022</t>
  </si>
  <si>
    <t>Menuiserie</t>
  </si>
  <si>
    <t>Samir</t>
  </si>
  <si>
    <t>Marbre Lotfi</t>
  </si>
  <si>
    <t>Reste plinthes escalier non payé</t>
  </si>
  <si>
    <t>https://drive.google.com/open?id=1rRh5fW_NeizoS3clA0geCkxeq8sAbl37</t>
  </si>
  <si>
    <t>Donné à Mohsine a la demande de Mounir</t>
  </si>
  <si>
    <t>Electricité</t>
  </si>
  <si>
    <t>Total: 4785 reste 1000 DT une fois fini hors devis centralisation, caméra et système alarme</t>
  </si>
  <si>
    <t>Détail? 650 - 500 - 80 (Babay Mabrok)</t>
  </si>
  <si>
    <t>Plomberie</t>
  </si>
  <si>
    <t>Mon am amghar</t>
  </si>
  <si>
    <t>https://drive.google.com/open?id=1eLXrsUh_-gn2WR5O5rk2zMuPrDlZih6m, https://drive.google.com/open?id=1k_6C9W6r343P21Sj_ji9Aa95b55Df7aD, https://drive.google.com/open?id=1Ms4Qb-Sg76ce2nK8e4k9N2sV9odj6Syb</t>
  </si>
  <si>
    <t>Commun y compris peinture salon parents et douche Babay Mabrok</t>
  </si>
  <si>
    <r>
      <rPr/>
      <t xml:space="preserve">https://drive.google.com/open?id=1rVMYpnIGE9v4nOxN4D4OsQAKKar2qX0w, </t>
    </r>
    <r>
      <rPr>
        <color rgb="FF1155CC"/>
        <u/>
      </rPr>
      <t>https://drive.google.com/open?id=1gzcoEXsB1dKCBtZA6a2o2MHJKMpBWpA6</t>
    </r>
  </si>
  <si>
    <t>Ok le 03/04/2022</t>
  </si>
  <si>
    <t>Ok le 04/04/2022</t>
  </si>
  <si>
    <t>Poignets, paumelles</t>
  </si>
  <si>
    <t>Facture chez azedine</t>
  </si>
  <si>
    <t>https://drive.google.com/open?id=1RMbAGp4ka9zNUcYsIErmRg94DLkljdZs</t>
  </si>
  <si>
    <t>https://drive.google.com/open?id=1EnRqpge0AwKuiu0f0oozT6BqX0XKn946</t>
  </si>
  <si>
    <t>Wissem</t>
  </si>
  <si>
    <t>Aluminium</t>
  </si>
  <si>
    <t>Villa parents</t>
  </si>
  <si>
    <t>Fenêtre sdb + majen</t>
  </si>
  <si>
    <t>Climatiseur gooba3</t>
  </si>
  <si>
    <t>Salon parents</t>
  </si>
  <si>
    <t xml:space="preserve">Clim GREE 1800w </t>
  </si>
  <si>
    <t>Ne correspond pas au paiement de la totalité?!</t>
  </si>
  <si>
    <t>SDB parents + complètement garage</t>
  </si>
  <si>
    <t>Paiement total fait le 05 03 2022</t>
  </si>
  <si>
    <t>Sdb et complement garage</t>
  </si>
  <si>
    <t>Paiement totalité restant du garage et préparation SDB parents + tvx Sdb2 parents</t>
  </si>
  <si>
    <t>Finalisation paiement garage, toilette,</t>
  </si>
  <si>
    <t>https://drive.google.com/open?id=1CoVbVaPqu1w9NcIcFIJj3kPgPsOBlRFB, https://drive.google.com/open?id=1xBtSMG0UccthI6ZlPocNT4o9T1Smczy3, https://drive.google.com/open?id=1VHqK0CwdAWJ28msgUkgzuVge3uHrTv80</t>
  </si>
  <si>
    <t>Meubles</t>
  </si>
  <si>
    <t>Meuble Jaafar Plus</t>
  </si>
  <si>
    <t>Sur un total de 6050 DT - chambre à coucher &amp; jarraya, salon, table télé</t>
  </si>
  <si>
    <t>https://drive.google.com/open?id=1CrglDfjrvYGdRd7BJDpChCMGfQf0mXNY, https://drive.google.com/open?id=1dBAxMWn9O5zYM0dFSFCNro06SDEESyPK</t>
  </si>
  <si>
    <t>Cobam (Matériel)</t>
  </si>
  <si>
    <t>Faïence douche parents</t>
  </si>
  <si>
    <t>Faïence douche parents 33,5m²</t>
  </si>
  <si>
    <t>https://drive.google.com/open?id=1AXAwmTr1Z5T0zxtYKfBLM8OGWDqcSVIO</t>
  </si>
  <si>
    <t>Electroménagers</t>
  </si>
  <si>
    <t xml:space="preserve">Quincaillerie - Haj Mhemed Rafik </t>
  </si>
  <si>
    <t>Chauffe eau Bosch 100L et surpresseur DAB Inox</t>
  </si>
  <si>
    <t>https://drive.google.com/open?id=1FXfEuBQbV3yoVS1LPrhUOLU3ZzXhhhl-</t>
  </si>
  <si>
    <t>Ok le 05/04/2022</t>
  </si>
  <si>
    <t>Payé par Samir - complément du 1000 DT restant des 2000€ transféré par Wissem</t>
  </si>
  <si>
    <r>
      <rPr/>
      <t xml:space="preserve">https://drive.google.com/open?id=1xSdXR8BZo897go4UcPSkTbGlyXf9TRJb, https://drive.google.com/open?id=1X5qHJ5pEbMETCGbNxPFNtBOymhONMY6B, </t>
    </r>
    <r>
      <rPr>
        <color rgb="FF1155CC"/>
        <u/>
      </rPr>
      <t>https://drive.google.com/open?id=1cpKctDhMVtcaIYNSgPiXd0dE-RqlGxxu</t>
    </r>
  </si>
  <si>
    <t>https://drive.google.com/open?id=1mu23mCenAK2PKQXoTAIrNwBCzzduIUc5</t>
  </si>
  <si>
    <t>Serrures elmey</t>
  </si>
  <si>
    <t>Cuisine</t>
  </si>
  <si>
    <t>Auto</t>
  </si>
  <si>
    <t>Travaux chez wissem</t>
  </si>
  <si>
    <t>Ok le 09/04/2022</t>
  </si>
  <si>
    <t>1900 (fin portes autres) + 400 (fin porte principale)</t>
  </si>
  <si>
    <t>Ok le 10/04/2022</t>
  </si>
  <si>
    <t xml:space="preserve">Divers </t>
  </si>
  <si>
    <t>https://drive.google.com/open?id=1eEA-QGXD95ic-OLIulkw4_OO8leosUwn, https://drive.google.com/open?id=12J0Un6PzGqPoJi56Ci9N3VuTLjw_LSLz, https://drive.google.com/open?id=1g7VlE4pmCdcNiW9Nh5-Hhr-KDGp8lRh2, https://drive.google.com/open?id=18h1ndnYAJWIgYZYF8r79hjJ44197g35r</t>
  </si>
  <si>
    <t>Accompte 22/03/2022 - reste 2300 DT</t>
  </si>
  <si>
    <t>https://drive.google.com/open?id=1Yqi2SnKfjoRP6t9Yhr-9zt7e_nzYzjDh</t>
  </si>
  <si>
    <t>A revérifier: paiement par Walid ou Samir</t>
  </si>
  <si>
    <t>Ok le 23/04/2022</t>
  </si>
  <si>
    <t xml:space="preserve">Paiement avec remise à zéro du compteur </t>
  </si>
  <si>
    <t>https://drive.google.com/open?id=1u6URyMNtJ1aJj0vqXgGZpOwocHUvzwJ5, https://drive.google.com/open?id=1jyEqr2qpQ-L1Rdpxnr4UngLruy2jdIhL</t>
  </si>
  <si>
    <t>Donné ce jour 22 04 22 - à Azzedine</t>
  </si>
  <si>
    <t>Donné à Gaddour ce jour 22 04 22</t>
  </si>
  <si>
    <t>Donné à Hamdi le 21 04 2022</t>
  </si>
  <si>
    <t>Ok le 26/04/2022</t>
  </si>
  <si>
    <t>Paiement le 24 04 2022</t>
  </si>
  <si>
    <t>Paiement lotfi le 25 04 2022</t>
  </si>
  <si>
    <t>Quincaillerie bouss3id</t>
  </si>
  <si>
    <t>Payé le 25 04 2022</t>
  </si>
  <si>
    <t>https://drive.google.com/open?id=1ykvHvb2vFRTkMDaqpyUAmTCb--pHzJut</t>
  </si>
  <si>
    <t>Salle de bains et douche</t>
  </si>
  <si>
    <t>Matériel + Quincaillerie</t>
  </si>
  <si>
    <t>https://drive.google.com/open?id=1N91ushgtp_C-izUxgFQq-lECiLxiAVCS, https://drive.google.com/open?id=1uHdUfCjZ8LKJqZMHXHp3JSPwx-3Vm8pW</t>
  </si>
  <si>
    <t>Autre</t>
  </si>
  <si>
    <t>Bateau billet samir mo ete 2022</t>
  </si>
  <si>
    <t>Samir Autre</t>
  </si>
  <si>
    <t>Samir billet</t>
  </si>
  <si>
    <t>Reste 4974d et à payer au plus tard fin mai 2022</t>
  </si>
  <si>
    <t>https://drive.google.com/open?id=1u4jzr9SpboTulI-8YYQuciAfae1DObPW, https://drive.google.com/open?id=1wvePzyDMOSGz8E4jpQkarmnsVbGJll2H, https://drive.google.com/open?id=1SG-ehuDbR1gr3XdJKESKELkBLxzXr1ko</t>
  </si>
  <si>
    <t>Ok le 01/05/2022</t>
  </si>
  <si>
    <t>Divers acte de nettoyage et fourniture trab et merch</t>
  </si>
  <si>
    <t xml:space="preserve">Dérivation canalisation eau </t>
  </si>
  <si>
    <t>https://drive.google.com/open?id=1ooYgP4PSwXc4rhVJ1XOomPS0Z-D4QBkO</t>
  </si>
  <si>
    <t>Jir pour toit maison</t>
  </si>
  <si>
    <t>Étanchéité marque italienne</t>
  </si>
  <si>
    <t>Achat de 6 sac x 83d= 498d</t>
  </si>
  <si>
    <t>Marbre nvlle fenetre douche parents</t>
  </si>
  <si>
    <t>77x56 x2mm marbre Tala gris</t>
  </si>
  <si>
    <t>Wissem Housh</t>
  </si>
  <si>
    <t>2668,294 matériel + 96,898 quincaillerie = 2760 Dinard arrondis</t>
  </si>
  <si>
    <t>https://drive.google.com/open?id=1MY4QUPhRNbptghiKYUhZadUSU-cSA3lZ, https://drive.google.com/open?id=1Ik_1aLSMLqlllw3FGau-4hfjtqiOW81f</t>
  </si>
  <si>
    <t>Mestawi</t>
  </si>
  <si>
    <t xml:space="preserve">Ragara </t>
  </si>
  <si>
    <t>Douche parent</t>
  </si>
  <si>
    <t>Ragard piquet terre</t>
  </si>
  <si>
    <t>Villa</t>
  </si>
  <si>
    <t xml:space="preserve">M lass3ed </t>
  </si>
  <si>
    <t>Veranda main courante + chebek douche parent</t>
  </si>
  <si>
    <t>Facture 270x2 pour main courante véranda cuisine+ chebek douche parents</t>
  </si>
  <si>
    <t xml:space="preserve">Mon3em </t>
  </si>
  <si>
    <t xml:space="preserve">Douche parents + grande salle de bain et dérivation alimententation eau Samir et parents et moi. Reste 900d à payer à la fin. Cette dernière ne prends pas d'autres prestations en dehors du reste à finir dans la douche et sdb parents </t>
  </si>
  <si>
    <t>Mounir</t>
  </si>
  <si>
    <t>Preparatif douche parents fenetre et liga et separation</t>
  </si>
  <si>
    <t>3 jours de travail banay et 5adam</t>
  </si>
  <si>
    <t>Tiwajni suite achat mon3em</t>
  </si>
  <si>
    <t>Douche et sdb et dérivation alim eau</t>
  </si>
  <si>
    <t>Prix après remise</t>
  </si>
  <si>
    <t>https://drive.google.com/open?id=1Ip53up-_XHSKEf2Bt_NUrLkAVOwowKGx, https://drive.google.com/open?id=1pdcAHN8JMLa2KDYsEc1JAjhdDil5lIie, https://drive.google.com/open?id=1-mBbLaQsDFwpLQbQXrFgXkO4lvhdpVJh, https://drive.google.com/open?id=1eOEbrYiq37YkXmd2T3xXEyWhFTvvi_D3</t>
  </si>
  <si>
    <t>Ok le 09/05/2022</t>
  </si>
  <si>
    <t xml:space="preserve">Lassad </t>
  </si>
  <si>
    <t>Porte 1er etage + chebek toilette</t>
  </si>
  <si>
    <t xml:space="preserve">330 bab et reste chebek! </t>
  </si>
  <si>
    <t>Sani decor pour achat par terre douche et sdb</t>
  </si>
  <si>
    <t>1m2 x 2 équivalent a 4 cartons</t>
  </si>
  <si>
    <t>Carrelage 15 x 15 pour zone douche. Facture perdue 113d</t>
  </si>
  <si>
    <t>Travaux houch</t>
  </si>
  <si>
    <t xml:space="preserve">Paiement à la demande de Mounir le 04 05 2022 le matin. </t>
  </si>
  <si>
    <t>Plomberie Matériel</t>
  </si>
  <si>
    <t>Materiel sanitaire</t>
  </si>
  <si>
    <t>Toilette et lavabo</t>
  </si>
  <si>
    <t>3 toilettes et 3 lavabo dont un avec meuble. Livraison prévue demain 06 05 22</t>
  </si>
  <si>
    <t>https://drive.google.com/open?id=16o6g60nk1FXlKsOt0h3rLw_VjLEUSVOb</t>
  </si>
  <si>
    <t>Materiel teliouine</t>
  </si>
  <si>
    <t>Mounir + maher</t>
  </si>
  <si>
    <t>https://drive.google.com/open?id=1XLwWFNvhtre10G4mTuqnJKbrcdFSI-Wx</t>
  </si>
  <si>
    <t>Transfert de budget</t>
  </si>
  <si>
    <t>DT</t>
  </si>
  <si>
    <t>Suite transfert 1000€ Western Union à Saif</t>
  </si>
  <si>
    <t>Suite transfert 600€ Western Union à Hakim</t>
  </si>
  <si>
    <t>Euro</t>
  </si>
  <si>
    <t>Taux de change 3,31 - donné le 20/04/2022</t>
  </si>
  <si>
    <t xml:space="preserve">Échange de 2000€ pour 3,25 </t>
  </si>
  <si>
    <t>Transfert Samir à Walid Maison</t>
  </si>
  <si>
    <t>Achat porte douche</t>
  </si>
  <si>
    <t xml:space="preserve">Douche parents porte </t>
  </si>
  <si>
    <t>80mx220m</t>
  </si>
  <si>
    <t>Mosaique boutique houmtSoug</t>
  </si>
  <si>
    <t>26 Faeance et 7 m parterre</t>
  </si>
  <si>
    <t>Ok le 18/05/2022</t>
  </si>
  <si>
    <t>Azedine</t>
  </si>
  <si>
    <t>Accompte le 11 05 2022</t>
  </si>
  <si>
    <t xml:space="preserve">Gadour </t>
  </si>
  <si>
    <t>Avance 1300d</t>
  </si>
  <si>
    <t>Donné ce jour le 11 05 2022</t>
  </si>
  <si>
    <t>600 d Mohamed Ben Attia + 200 d pour Karim gourniza</t>
  </si>
  <si>
    <t>Ok le 14/05/2022</t>
  </si>
  <si>
    <t>Avance sur les 6000 d restant</t>
  </si>
  <si>
    <t>Reste à devoir à Mounir ce jour 4500 D</t>
  </si>
  <si>
    <t>Menuiserie - Vitrier</t>
  </si>
  <si>
    <t>Karim gournisa</t>
  </si>
  <si>
    <t>Gournisa</t>
  </si>
  <si>
    <t>Paiement de 800 d sur 1000d reste 200d disponible chez Walid laisse ce jour 13 05 2022</t>
  </si>
  <si>
    <t>Anoir goobaa</t>
  </si>
  <si>
    <t>2 Clim</t>
  </si>
  <si>
    <t>Achat et installation 2 clim 880*2 + 70*2 montage</t>
  </si>
  <si>
    <t>Electricité Matériel</t>
  </si>
  <si>
    <t>GED</t>
  </si>
  <si>
    <t>Acaht applique</t>
  </si>
  <si>
    <t>6 poto terrasse et 6 applique exter achat le 11 05 22</t>
  </si>
  <si>
    <t>https://drive.google.com/open?id=1UZjSZ7redqy1E-3YrEdIKJlo-QfM_QjG</t>
  </si>
  <si>
    <t>Mosaiquz de lile haoumt souk</t>
  </si>
  <si>
    <t>Faeance douche</t>
  </si>
  <si>
    <t>Faeance blanc 20*20 et par terre parquet 3 pack</t>
  </si>
  <si>
    <t>https://drive.google.com/open?id=1CWLADtEGNVqZ0zHCOoePMO1sXkDksvRK</t>
  </si>
  <si>
    <t>Mounir suite travaux douches et sdb parents</t>
  </si>
  <si>
    <t xml:space="preserve">Paiement total douche et sdb villa parent </t>
  </si>
  <si>
    <t>Paiement Mounir ce jour le 12 05 2022</t>
  </si>
  <si>
    <t xml:space="preserve">6 berlet traab +daniel+ Max frere karim + salah sor+ </t>
  </si>
  <si>
    <t>600 d + 135 + 30+ 30</t>
  </si>
  <si>
    <t>https://drive.google.com/open?id=1GDp_-4cU6S3MN_RSo6EOP41BtROl49RD</t>
  </si>
  <si>
    <t xml:space="preserve">Mohamed ben attia </t>
  </si>
  <si>
    <t xml:space="preserve">Réparation sor </t>
  </si>
  <si>
    <t xml:space="preserve">Avance 50d reste 550 sur devis origine mais 600 d ont été laissés le 13 05 22 à Walid pour les lui donner </t>
  </si>
  <si>
    <t>Tiwajni</t>
  </si>
  <si>
    <t>Remise a zero compteur au 12 05 2022 a 17h</t>
  </si>
  <si>
    <t>1100d + 100d les deux supports clim</t>
  </si>
  <si>
    <t>https://drive.google.com/open?id=12Lqo1tLJIltRobaGd_kc_uZ6CS9SeHai</t>
  </si>
  <si>
    <t>Hamdi srandi</t>
  </si>
  <si>
    <t>Reste alum escalier</t>
  </si>
  <si>
    <t>520d</t>
  </si>
  <si>
    <t>Billet bateau agence ITA avenue salah bzn youssef</t>
  </si>
  <si>
    <t>Billet bateau</t>
  </si>
  <si>
    <t>Paiement total du billet ce jour le 12 05 2022</t>
  </si>
  <si>
    <t>Bricola</t>
  </si>
  <si>
    <t>Sanitaires</t>
  </si>
  <si>
    <t>3 kit douchette + 2 mitigeur douche douzeSopal</t>
  </si>
  <si>
    <t>https://drive.google.com/open?id=1gIfzDgOifK-su6P5jhHQ7Sva0Ztuo3fN</t>
  </si>
  <si>
    <t>Sanitaire et applique</t>
  </si>
  <si>
    <t>12 Lampe LED 3 flexible douche 3 mitigeur lavabo mitigeur douche douz</t>
  </si>
  <si>
    <t>https://drive.google.com/open?id=14IR1ConewnCO6FcW9EyesDvW1iXVFPfk</t>
  </si>
  <si>
    <t>Reglette led et applique exter</t>
  </si>
  <si>
    <t>Achat le 11 05 2022</t>
  </si>
  <si>
    <t>https://drive.google.com/open?id=10wbwWfehlGrSzKpiMsNMjGLiXAV85uGB</t>
  </si>
  <si>
    <t xml:space="preserve">Azdine </t>
  </si>
  <si>
    <t xml:space="preserve">Cuisine chebebek garage balar hdid 400 300 </t>
  </si>
  <si>
    <t>Paiement en main le 11 04 2022</t>
  </si>
  <si>
    <t>https://drive.google.com/open?id=1Q1lvYbnxGuE-961JvkYxsL8CrxctpRvK</t>
  </si>
  <si>
    <t>Régul.</t>
  </si>
  <si>
    <t>Régul. - Mounir 1 - F8 - 190404</t>
  </si>
  <si>
    <t>Régul. - Mounir 2 - F8 - 1900729</t>
  </si>
  <si>
    <t>Devis - Chiffrage</t>
  </si>
  <si>
    <t>Travaux de base</t>
  </si>
  <si>
    <t>Régul. - accord de base - 175 DT x 210 m</t>
  </si>
  <si>
    <t>Azzedine</t>
  </si>
  <si>
    <t>Tvx</t>
  </si>
  <si>
    <t>Maher</t>
  </si>
  <si>
    <t>Régul. F8 - 191006</t>
  </si>
  <si>
    <t>Régul. F8 - 191101</t>
  </si>
  <si>
    <t>Régul. F8 - 191402 // Mounir régul. facture + 450 trax inclus</t>
  </si>
  <si>
    <t>TS régul. prix du m²</t>
  </si>
  <si>
    <t>Régul. F36 - correction métrage; modif. escalier...</t>
  </si>
  <si>
    <t>TS</t>
  </si>
  <si>
    <t>Régul. F55 - F42 - Tout les Travaux Sup. et clôture Chantier</t>
  </si>
  <si>
    <t>Régul. Walid du 200620 au 210421 - Mounir 7 à 10 / F19-F21-F33</t>
  </si>
  <si>
    <t>Régul. F33 - prix du m²</t>
  </si>
  <si>
    <t>Régul. Mise à jour partie ajout - 211108</t>
  </si>
  <si>
    <t>Régul. du 210817 au 210819 - F35</t>
  </si>
  <si>
    <t>Régul. F46 du 210824 au 211105 avancement 18 à 20 (somme)</t>
  </si>
  <si>
    <t>Majen</t>
  </si>
  <si>
    <t>Régul. Majen - 3300 Tvx et 475 Hjar</t>
  </si>
  <si>
    <t>Régul. montant donné à Mounir pour Marbre - conservé par Mounir - 220123</t>
  </si>
  <si>
    <t>Jamel Basha</t>
  </si>
  <si>
    <t>Faux Plafond</t>
  </si>
  <si>
    <t>Tavaux de base  (3800) + modification (1840)</t>
  </si>
  <si>
    <t>Salah Aydi</t>
  </si>
  <si>
    <t>Regul. Marbre Lotfi</t>
  </si>
  <si>
    <t>Escalier (Hamdi)</t>
  </si>
  <si>
    <t>Hamdi</t>
  </si>
  <si>
    <t>Regul.</t>
  </si>
  <si>
    <t>Aluminium Fenêtres</t>
  </si>
  <si>
    <t>Wissem Sfaxi</t>
  </si>
  <si>
    <t>https://drive.google.com/open?id=1HvThEmN8Q2cjs9oYD5-ZnhfjIqnojxLT</t>
  </si>
  <si>
    <t>Fer Fenêtres</t>
  </si>
  <si>
    <t>Aldoun</t>
  </si>
  <si>
    <t>https://drive.google.com/open?id=1Uz-VDXYcnxsOKBaMhNZo1sW1VDVu7lIu</t>
  </si>
  <si>
    <t>Fer Lassad - rombardes terrasses - 3 portes</t>
  </si>
  <si>
    <t>Lassad Najjar</t>
  </si>
  <si>
    <t>https://drive.google.com/open?id=1xxpVBI498V70fxE8fIU30iRJ5TVjpl4X</t>
  </si>
  <si>
    <t>Suivi Chantier</t>
  </si>
  <si>
    <t>Suivi Walid</t>
  </si>
  <si>
    <t>Marbre contour majen par Mounir</t>
  </si>
  <si>
    <t>Contour terrasse Majen</t>
  </si>
  <si>
    <t>Coffrets Fenêtres</t>
  </si>
  <si>
    <t>Guellala Aluminium</t>
  </si>
  <si>
    <t>Gonisa portes et armoires</t>
  </si>
  <si>
    <t>Karim Mestaoui</t>
  </si>
  <si>
    <t>Achat par Wissem</t>
  </si>
  <si>
    <t>Reste 750DT pour mitigeurs</t>
  </si>
  <si>
    <t>Carrelage</t>
  </si>
  <si>
    <t>Parterre</t>
  </si>
  <si>
    <t>Zliz - carrelage - faïence</t>
  </si>
  <si>
    <t>https://drive.google.com/open?id=19x1UqgLz7Fmg38U8xjczSplA0gyKHGwp</t>
  </si>
  <si>
    <t>Gaddour</t>
  </si>
  <si>
    <t>Main d'œuvre</t>
  </si>
  <si>
    <t>https://drive.google.com/open?id=1uAtOhS7QUmXiBG7YUPmVDkDjXEymqJ0n</t>
  </si>
  <si>
    <t>EL Mey contact Gaddour</t>
  </si>
  <si>
    <t>https://drive.google.com/open?id=1GB4Z-7zPQysd1SXdvjKPb14Ne5DvoD8M</t>
  </si>
  <si>
    <t>Estimation</t>
  </si>
  <si>
    <t>Voir détail dans dépenses</t>
  </si>
  <si>
    <t>Meubles Jaafar - Clim...</t>
  </si>
  <si>
    <t>https://drive.google.com/open?id=1iyE17hJRPKdZphlThEi0w8sGymuQLxGE</t>
  </si>
  <si>
    <t>Dépenses Mariage et voyage</t>
  </si>
  <si>
    <t>https://drive.google.com/open?id=1DWX4bx0jNrTqEhiafy2XKO19_arFharP</t>
  </si>
  <si>
    <t>Boussaïd - Tiwajni - Tiliouine</t>
  </si>
  <si>
    <t>Reprise prix dépenses sur factures</t>
  </si>
  <si>
    <t>Dalles</t>
  </si>
  <si>
    <t>Prise dépenses sur facture</t>
  </si>
  <si>
    <t>Dalle 1 Gabes</t>
  </si>
  <si>
    <t>https://drive.google.com/open?id=12Y6NU9m7Nwyf5Y-r-jysepIcqvhgtNrt</t>
  </si>
  <si>
    <t>https://drive.google.com/open?id=1q9SbiC43pS10r6LjT6ZSxsh4DeGhNVu4</t>
  </si>
  <si>
    <t>F20</t>
  </si>
  <si>
    <t>https://drive.google.com/open?id=1znBmA91jkBiiWJ2qqMc1eGsRwCcArgid</t>
  </si>
  <si>
    <t>Cobam - F37</t>
  </si>
  <si>
    <t>F37</t>
  </si>
  <si>
    <t>https://drive.google.com/open?id=1-KtYZeAOfInQp0x0P8UkxR2Dkghy2v5i</t>
  </si>
  <si>
    <t>F19 - F18</t>
  </si>
  <si>
    <t>F18 et F19</t>
  </si>
  <si>
    <t>https://drive.google.com/open?id=11Z4hBggYP8_Pp3XsI70WsDVQkk9PrHm5</t>
  </si>
  <si>
    <t>Démarrage</t>
  </si>
  <si>
    <t>https://drive.google.com/open?id=11MSvRWQ4vA78zbkNMu8YHUD8i_t8XCaA</t>
  </si>
  <si>
    <t>Menuiserie portes et fenêtres</t>
  </si>
  <si>
    <t>Matériel Electricité</t>
  </si>
  <si>
    <t>F31</t>
  </si>
  <si>
    <t>Aluminium Wissem Sfaxi</t>
  </si>
  <si>
    <t>9 Coffrets Fenêtre Alu. - F7</t>
  </si>
  <si>
    <t>Fenêtres</t>
  </si>
  <si>
    <t>F29</t>
  </si>
  <si>
    <t>Lassad</t>
  </si>
  <si>
    <t>Avancement 970 DT (Wissem) et 330 DT (Père)</t>
  </si>
  <si>
    <t>Portes cuisine et terrasse + rambarde terrasse</t>
  </si>
  <si>
    <t xml:space="preserve">Lassad fer </t>
  </si>
  <si>
    <t>Régul. Fer</t>
  </si>
  <si>
    <t>Régul. Paiement</t>
  </si>
  <si>
    <t>F21 - F38 - soufflet porte et fenêtres + avancement par Walid</t>
  </si>
  <si>
    <t>Fer, Yajour, Ouled Chaaban - F1 - F2 - F3 - F4 - F5</t>
  </si>
  <si>
    <t xml:space="preserve">Ouled Chaaban - F17 / Boussaïd 4 - F26 / Boussaid 7 - F45 </t>
  </si>
  <si>
    <t>F13 à F16 et F6-9-10-28-27 - Boussaïd 1 - 2 - 3 et Ouled Chaaban</t>
  </si>
  <si>
    <t>F22-23-24-12-33-34 - Boussaïd 5-6</t>
  </si>
  <si>
    <t>Remise à zéro Boussaïd 11 - F40-43-44</t>
  </si>
  <si>
    <t>F47 - Plusieurs factures - tiliwine, bricola</t>
  </si>
  <si>
    <t>Matériel Tiwajni remise à zéro</t>
  </si>
  <si>
    <t>Poignets et paumelles - 400 (facture 380) + 411,5DT</t>
  </si>
  <si>
    <t>Azzedine sur facture</t>
  </si>
  <si>
    <t>voir F54 - 190747</t>
  </si>
  <si>
    <t>Payé par Wissem avant le 13/05/2022 - puis 1500 DT pour un reste de clôture à 4500 DT</t>
  </si>
  <si>
    <t xml:space="preserve">200  Karim et 600 Mohamed </t>
  </si>
  <si>
    <t>À suite du virement fait à Sami le 20 05 2022</t>
  </si>
  <si>
    <t>https://drive.google.com/open?id=196gDUX9yHqJrqMdT8VxBCF9XdqOY6Lqo</t>
  </si>
  <si>
    <t>Travaux Supplémentaires</t>
  </si>
  <si>
    <t>Ecart de 800 DT à vérifier</t>
  </si>
  <si>
    <t>https://drive.google.com/open?id=1U5c4FyivMXvYqf2RIhma_i6r4S4E-gIh</t>
  </si>
  <si>
    <t>Fenêtres salon et cuisine; Majen</t>
  </si>
  <si>
    <t>Wissem Sfaxi et Srandi</t>
  </si>
  <si>
    <t>https://drive.google.com/open?id=1aoyLHrLskWXnGEQQX1AgIDebBkfWrm_1</t>
  </si>
  <si>
    <t>Garages &amp; Sanitaire, Cuisine Parents</t>
  </si>
  <si>
    <t>Pripri</t>
  </si>
  <si>
    <t>https://drive.google.com/open?id=1b38pKqBuwGgCvDRseFTUBKGHxaO4HEzt</t>
  </si>
  <si>
    <t>Electricité et Plomberie</t>
  </si>
  <si>
    <t>Monaem</t>
  </si>
  <si>
    <t>Garage, toilette, douche et SdB Parents, Baby Mabrouk</t>
  </si>
  <si>
    <t>Chiffrage Com. Marbre Elec Plomb</t>
  </si>
  <si>
    <t>Lotfi</t>
  </si>
  <si>
    <t>Garage, veranda main courante, portes parents</t>
  </si>
  <si>
    <t>Chiffrage Hdid - Peinture Commun</t>
  </si>
  <si>
    <t>Kaïs</t>
  </si>
  <si>
    <t>Rash Dar Parents, Salon, Cuisine, Sor, Garages?</t>
  </si>
  <si>
    <t>https://drive.google.com/open?id=1vVxLGxxqO9vsXD57httb6225Y0oiqA01</t>
  </si>
  <si>
    <t>Cuisine, SdB Parents, Retouches Mur</t>
  </si>
  <si>
    <t>Ommi</t>
  </si>
  <si>
    <t>Parterre Salon</t>
  </si>
  <si>
    <t>WalSam</t>
  </si>
  <si>
    <t>Dépenses via Mounir</t>
  </si>
  <si>
    <t>https://drive.google.com/open?id=1cW-w7epn0uC-uCF-Ul1IQZBLurfJBpoA</t>
  </si>
  <si>
    <t>Régul. F48-F49</t>
  </si>
  <si>
    <t>Régul. Avancement Boussaïd, Hdid, retombée poutre garages</t>
  </si>
  <si>
    <t>Boussaïd 1</t>
  </si>
  <si>
    <t>Régul. F40</t>
  </si>
  <si>
    <t xml:space="preserve">
Régul. dépenses (soustraction à 970 DT comptabilisé positivement par Wissem)</t>
  </si>
  <si>
    <t>Basha Hdid et Dalles Gabes Garage</t>
  </si>
  <si>
    <t>F56 - Twajni 1500 et Bousaïd 1500</t>
  </si>
  <si>
    <t>F56 - Tiwajni et Boussaïd</t>
  </si>
  <si>
    <t>WalWiss</t>
  </si>
  <si>
    <t>F48</t>
  </si>
  <si>
    <t>Régul. F48</t>
  </si>
  <si>
    <t>Fenêtres Alu. Cuisine et Salon</t>
  </si>
  <si>
    <t>Régul. F48 - F50</t>
  </si>
  <si>
    <t>Régul. Lassad F51</t>
  </si>
  <si>
    <t>Babay</t>
  </si>
  <si>
    <t>Régul. paiement par Babay</t>
  </si>
  <si>
    <t>Marbre cuisine 2100 DT</t>
  </si>
  <si>
    <t>Régul. 1100 puis 1000 - F51 et F52</t>
  </si>
  <si>
    <t>Régul. Paiement Azzedine - (2200 DT cuisine, 1000 Portes + 320 fenêtres garage et toilettes) reste 700 DT</t>
  </si>
  <si>
    <t>Lavabo</t>
  </si>
  <si>
    <t>https://drive.google.com/open?id=1XYwPN7KJSbWuhZsngU6Ux6yfNKfLkO22, https://drive.google.com/open?id=1Jau_3Qin9uzsCzfKIBJ1hT1d_l6biIu_</t>
  </si>
  <si>
    <t>Facture bousaid</t>
  </si>
  <si>
    <t>https://drive.google.com/open?id=1qRbu8JGvkNEtu-8V_u4EQSXPcAFPmj2v</t>
  </si>
  <si>
    <t>3000 wissem et 500 samir</t>
  </si>
  <si>
    <t>Ok le 04/07/22</t>
  </si>
  <si>
    <t>Karim mestaoui</t>
  </si>
  <si>
    <t>200 Samir et 250 villa et garage</t>
  </si>
  <si>
    <t>Kais b sassi</t>
  </si>
  <si>
    <t>Monem amghar</t>
  </si>
  <si>
    <t>Maher belhaj</t>
  </si>
  <si>
    <t>Fin de chantier</t>
  </si>
  <si>
    <t>Montage applique exter et escalier inter</t>
  </si>
  <si>
    <t xml:space="preserve">Karim </t>
  </si>
  <si>
    <t>A clarifier avec Wissem - gornisa pourquoi ?</t>
  </si>
  <si>
    <t>Pour Equilibrage des comptes</t>
  </si>
  <si>
    <t>Régul. voir facture dépenses</t>
  </si>
  <si>
    <t xml:space="preserve">Régul. Taux 3,22 </t>
  </si>
  <si>
    <t>Régul. Laissé à Walid par Wissem en novembre 2022</t>
  </si>
  <si>
    <t>Régul. laissé à Walid le 26/02/2022 (emprunté à Samir et Remboursé)</t>
  </si>
  <si>
    <t>Régul. Transmis à Walid budget Samir du 20/04/19 au 10/04/22 hors RaZ. des écarts</t>
  </si>
  <si>
    <t>Change chez goubbaa de paris</t>
  </si>
  <si>
    <t>Donné suite récup 2000 des 1000€ envoyé à serbia à Abd Rahmane</t>
  </si>
  <si>
    <t>Spot douche et salle de bain parent</t>
  </si>
  <si>
    <t>4 spot</t>
  </si>
  <si>
    <t>https://drive.google.com/open?id=13pEqlTsS71i-tDIllqAf7ZiFxI0OR2cu</t>
  </si>
  <si>
    <t>2300 restant des 4000 dues puisque mounir me devait 1700 ayant ete recupere de walid et a qui je les ai rendu</t>
  </si>
  <si>
    <t xml:space="preserve">Dettes Samir payée totalement ce jour. Samir ne doit plus rien à Mounir sur les 9000 d initialement fixés </t>
  </si>
  <si>
    <t>Remboursement du prêt d'argent donné à Mounir par Walid 1700 DT</t>
  </si>
  <si>
    <t>Initialement prêt pour Mounir par Walid - transformé en dépense Maison Samir payé par Wissem</t>
  </si>
  <si>
    <t>Excédent des 1700 DT payé par Walid pour MaZ total Mounir pour Maison Samir / 700 DT partiront pour le compte Wissem Housh</t>
  </si>
  <si>
    <t>Régul. Matériel pour RaZ</t>
  </si>
  <si>
    <t>Montant = 0 Juste pour mise en forme - devis à rentrer</t>
  </si>
  <si>
    <t>Régul. voir devis dans dépenses</t>
  </si>
  <si>
    <t>Montant = 0 juste pour mise en forme - à détailler avec une autre entrée</t>
  </si>
  <si>
    <t>Depose par Nabil Ben Attia à la mazer3a le 06062022</t>
  </si>
  <si>
    <t>Kais bn sassi</t>
  </si>
  <si>
    <t xml:space="preserve">Maison parent suite ajout chambre parent </t>
  </si>
  <si>
    <t>Donné par Walid à kais le 06062022</t>
  </si>
  <si>
    <t>A mounir suite avance de sa part pour deplacemenr radem</t>
  </si>
  <si>
    <t>Radem et saffy</t>
  </si>
  <si>
    <t>Payé par Walid à Mounir le 05062022</t>
  </si>
  <si>
    <t>https://drive.google.com/open?id=14UJInOXS6QB7u4Iwt7r0uK2mEA7Ut8AD</t>
  </si>
  <si>
    <t xml:space="preserve">Niche salle de bain et souflet douche parent </t>
  </si>
  <si>
    <t xml:space="preserve">Mjahed guallala </t>
  </si>
  <si>
    <t>https://drive.google.com/open?id=1S37e9IxPN7rtZsEtVmgPhRIXukrCkhBz</t>
  </si>
  <si>
    <t>Main doeuvre mounir</t>
  </si>
  <si>
    <t xml:space="preserve">Mounir main doeuvre </t>
  </si>
  <si>
    <t>6200d chambre 25m2+ 5598d faience +par terre+ zliz terrasse et doukana+ réfection escalier</t>
  </si>
  <si>
    <t>https://drive.google.com/open?id=1n4kmDY9jkeQ3_osZ00djYJAF3aammECf, https://drive.google.com/open?id=1CtLqiXcKTtgwpTXZo9chWFMw-pm07Cl2</t>
  </si>
  <si>
    <t>Récupéré le 08062022 chez iheb Ben youssef et changés avec taux 3,29 ce qui donne 9870 Dinars</t>
  </si>
  <si>
    <t>Recuperé chez Amine au café par Walid le 08062022 puis changé avec le taux 3,29 et cela donne 1612,10 Dinars</t>
  </si>
  <si>
    <t xml:space="preserve">Boussid </t>
  </si>
  <si>
    <t>Facture jusqu'a dalla et peinture prise par kais</t>
  </si>
  <si>
    <t>7250d + 970 d</t>
  </si>
  <si>
    <t>https://drive.google.com/open?id=1iaymZ1PNHW_37-rFcz2h9u50VmRx6OrS</t>
  </si>
  <si>
    <t>Mounir pour payer dallet gabes</t>
  </si>
  <si>
    <t xml:space="preserve">Paiement dalla de gabes </t>
  </si>
  <si>
    <t>1350d donné à Mounir par Walid suite paiement dallet Gabès. Msg messenger Walid du 09062022</t>
  </si>
  <si>
    <t xml:space="preserve">Taux 3,23 via Oussama Zc </t>
  </si>
  <si>
    <t xml:space="preserve">Finalisation paiement - reste cuisine uniquement </t>
  </si>
  <si>
    <t xml:space="preserve">Reste que cuisine paiement en 2023 - finalisation à 3600 ou 4000 ? A revérifier </t>
  </si>
  <si>
    <t>Placard sous escalier</t>
  </si>
  <si>
    <t>Sor (retrait puis rajout)</t>
  </si>
  <si>
    <t>Régul. RaZ des écarts Budget transmis vs dépenses</t>
  </si>
  <si>
    <t>Basha</t>
  </si>
  <si>
    <t>Finalisation Basha - potentiellement ajouts à voir en direct</t>
  </si>
  <si>
    <t>Zarbiya - 280; rideau achat 450; couture 500 9DT/m et 5m par fenêtre.</t>
  </si>
  <si>
    <t>Ajout augmentation matériaux - cuisine</t>
  </si>
  <si>
    <t>Thermomètre à mongi</t>
  </si>
  <si>
    <t>Sac midoun</t>
  </si>
  <si>
    <t>Faieance bleu</t>
  </si>
  <si>
    <t>Véranda et houch</t>
  </si>
  <si>
    <t>Kais ben sassi</t>
  </si>
  <si>
    <t>Villa parent</t>
  </si>
  <si>
    <t>Dernière tranche</t>
  </si>
  <si>
    <t>Transmis par Jamil boutriga 2500€ x 3,26</t>
  </si>
  <si>
    <t>A mounir pour 3 eme tranche sur 4</t>
  </si>
  <si>
    <t xml:space="preserve">3 eme tranche </t>
  </si>
  <si>
    <t>Société Boussid</t>
  </si>
  <si>
    <t>Paiement avec remise à zéro le 29062022 de toute la facture mawaed binaa</t>
  </si>
  <si>
    <t>https://drive.google.com/open?id=1IEVVNnJXIAZlILFNbN-aXDD-3fEMDw74, https://drive.google.com/open?id=1ogf-fHIKOJvH2XCItAHX-oubFR8EaRia</t>
  </si>
  <si>
    <t xml:space="preserve">Tiwajni </t>
  </si>
  <si>
    <t>Equipement d électricité et plombrie de chez tiwajni</t>
  </si>
  <si>
    <r>
      <rPr/>
      <t xml:space="preserve">https://drive.google.com/open?id=18kTBMs7T1KuadskgHxpncjdiuxXZf_N9, https://drive.google.com/open?id=1otw9vUCp1onMK1naSexvDsEfH3Jdf9Qf, https://drive.google.com/open?id=1BZyGrRhWIU8fA1DUnVZMoZK1KxhXLYPj, https://drive.google.com/open?id=1c-LVyGyxDUE4jr4NTR0UCFn460BskgX1, </t>
    </r>
    <r>
      <rPr>
        <color rgb="FF1155CC"/>
        <u/>
      </rPr>
      <t>https://drive.google.com/open?id=1_bj4BUIeBX0oDxzbYgrmjcvtqK_pTYkK</t>
    </r>
  </si>
  <si>
    <t>4000€ donnés par Iheb bn youssef à Walid vers le 30062022</t>
  </si>
  <si>
    <t xml:space="preserve">Moun3m </t>
  </si>
  <si>
    <t>Salle de bain parents</t>
  </si>
  <si>
    <t xml:space="preserve">Dernière tranche </t>
  </si>
  <si>
    <t xml:space="preserve">Bricola </t>
  </si>
  <si>
    <t>Couleur bleue petrole</t>
  </si>
  <si>
    <t xml:space="preserve">Deux x 3 litres </t>
  </si>
  <si>
    <t>https://drive.google.com/open?id=1zGggEmazHkl7Kdx_S_9TFMl7YN8C1ZR0</t>
  </si>
  <si>
    <t>Donné 4650€ (350€ Ommi - 500€ EtudesBTP sous-traitants)</t>
  </si>
  <si>
    <t>Four, Plaque, Bague</t>
  </si>
  <si>
    <t>660 four, 330 plaque, 900 bague</t>
  </si>
  <si>
    <t>Paiement direct bague, four et plaque</t>
  </si>
  <si>
    <t>Samiha</t>
  </si>
  <si>
    <t>Télé</t>
  </si>
  <si>
    <t>Télé 1750 DT avec parabole et autres 2000DT total</t>
  </si>
  <si>
    <t>Kais ben Sassi</t>
  </si>
  <si>
    <t>Tranche avant aid</t>
  </si>
  <si>
    <t>Donnée le 05072022 par Walid à kais</t>
  </si>
  <si>
    <t>Hamdi alu srandi</t>
  </si>
  <si>
    <t>Fenêtre + paroi douche parents</t>
  </si>
  <si>
    <t xml:space="preserve">Mise a jour pour affichage a confirmer </t>
  </si>
  <si>
    <t>Mise a jour par Samir pour affichage a confirmer</t>
  </si>
  <si>
    <t xml:space="preserve">Payé par Walid - confirmation par écrit à Wissem màj par Samir - facture a récupérer </t>
  </si>
  <si>
    <t>220819 - erreur 5500 à corriger dans dépenses // A mettre à jour avec facture</t>
  </si>
  <si>
    <t>Travaux sup. Modif. Couleur portes gris</t>
  </si>
  <si>
    <t>Maman</t>
  </si>
  <si>
    <t>Ged houmet soug</t>
  </si>
  <si>
    <t>Projecteurs et appliq</t>
  </si>
  <si>
    <t>Cloture facture au 240722</t>
  </si>
  <si>
    <t>Cloture facture housh wissem au 240722</t>
  </si>
  <si>
    <t xml:space="preserve">Fon travaux wissem et modif garages </t>
  </si>
  <si>
    <t>Fin travaux er cloture compte</t>
  </si>
  <si>
    <t>Les ajouts + restant du après paiement par walid</t>
  </si>
  <si>
    <t>https://drive.google.com/open?id=1Ovy2QAxb8lLHGHS6ZCi452dScMe7KIAw</t>
  </si>
  <si>
    <t>Meuble Jaafar</t>
  </si>
  <si>
    <t xml:space="preserve">Cadeau samiha </t>
  </si>
  <si>
    <t>Payé par Ommi</t>
  </si>
  <si>
    <t>Travaux Sup. Évacuation terrasse</t>
  </si>
  <si>
    <t>Donné hier clôture - reste cuisine - faite gratuitement avant décembre - sinon facturée</t>
  </si>
  <si>
    <t>Houch et escalier</t>
  </si>
  <si>
    <t>Main courante et cote housh</t>
  </si>
  <si>
    <t>Donnée 1750 sur 2000 dinars</t>
  </si>
  <si>
    <t>Clôture Alu. Wissem Sfaxi</t>
  </si>
  <si>
    <t xml:space="preserve">Azedine </t>
  </si>
  <si>
    <t>Restant des portes housh et bancs parents</t>
  </si>
  <si>
    <t>Mon3em</t>
  </si>
  <si>
    <t>Elect et eau</t>
  </si>
  <si>
    <t>Fawzi</t>
  </si>
  <si>
    <t>Réfection sdb</t>
  </si>
  <si>
    <t>Avance 1/2</t>
  </si>
  <si>
    <t>Tiliwin</t>
  </si>
  <si>
    <t xml:space="preserve">Avance 1/2 (950-550) </t>
  </si>
  <si>
    <t>SAC</t>
  </si>
  <si>
    <t>Barre de seuil sdb</t>
  </si>
  <si>
    <t>Moustiquaires SdB RDC</t>
  </si>
  <si>
    <t>Moustiquaire SdB RdC</t>
  </si>
  <si>
    <t>Clôture facture tiwajni (régul.)</t>
  </si>
  <si>
    <t>220826 - annulation 39DT</t>
  </si>
  <si>
    <t>Finalisation prestation wissel Sfaxi</t>
  </si>
  <si>
    <t>Réduction 39Dt</t>
  </si>
  <si>
    <t>Régul. Dépenses</t>
  </si>
  <si>
    <t>Clôture facture meubles (Cadeau samiha initialement)</t>
  </si>
  <si>
    <t>Reste Budget 13997Dt</t>
  </si>
  <si>
    <t>Rideau</t>
  </si>
  <si>
    <t>Ben othman</t>
  </si>
  <si>
    <t>https://drive.google.com/open?id=17Td1ItbbwDLcqAPtw24-6tOcerv_f897</t>
  </si>
  <si>
    <t>Lassad najjar</t>
  </si>
  <si>
    <t>Reste sur 2000 suite réparation entree principale</t>
  </si>
  <si>
    <t xml:space="preserve">Total 1950 ( main courante escalier contour porte housh mai' courante côté housh et réparation beb entrée) </t>
  </si>
  <si>
    <t>Fawzi entreprise tiliwin</t>
  </si>
  <si>
    <t>Refection marbre sdb</t>
  </si>
  <si>
    <t>Reste sur 950 dinars</t>
  </si>
  <si>
    <t>https://drive.google.com/open?id=1se1Pcd_Tt-kGHCzfj8s9qooS6sxukVuE</t>
  </si>
  <si>
    <t>Nabil ben attia</t>
  </si>
  <si>
    <t>Armoire bit housh</t>
  </si>
  <si>
    <t>Reste 2300</t>
  </si>
  <si>
    <t>Avancement peinture</t>
  </si>
  <si>
    <t>Matériel peinture cuisine</t>
  </si>
  <si>
    <t>Faouzi tiliouine</t>
  </si>
  <si>
    <t>Restant maison cadeau Gaddour (compense quelques retouches)</t>
  </si>
  <si>
    <t>Finition Cuisine</t>
  </si>
  <si>
    <t>Maro Salon Housh</t>
  </si>
  <si>
    <t>Nabil Ben Attia</t>
  </si>
  <si>
    <t>Douche Parents</t>
  </si>
  <si>
    <t>Faouzi</t>
  </si>
  <si>
    <t>Carrelage SdB Parents</t>
  </si>
  <si>
    <t>Evier et meuble lavabo</t>
  </si>
  <si>
    <t>Douche parents</t>
  </si>
  <si>
    <t>Fermeture compte Tiwajni - douche parents</t>
  </si>
  <si>
    <t>Siphons douches après modif.</t>
  </si>
  <si>
    <t>Retour Budget à Wissem</t>
  </si>
  <si>
    <t>Moustiquaire</t>
  </si>
  <si>
    <t>Fermeture ouverture garage</t>
  </si>
  <si>
    <t>Haddad</t>
  </si>
  <si>
    <t>Hdid Escalier</t>
  </si>
  <si>
    <t>360 premier Haddad viré (dont 40 MO)</t>
  </si>
  <si>
    <t>Peinture Bab Sor; rombarde; porte principle + porte housh</t>
  </si>
  <si>
    <t>Pas bien</t>
  </si>
  <si>
    <t>Meuble SdB</t>
  </si>
  <si>
    <t>Évier (249) et mitigeur (309)</t>
  </si>
  <si>
    <t>Bricola (mitigeur) sac (évier)</t>
  </si>
  <si>
    <t>Voir facture chez papi</t>
  </si>
  <si>
    <t>Faouzi marbre</t>
  </si>
  <si>
    <t>Anis &amp; Samiha</t>
  </si>
  <si>
    <t>SdB - cuvette + abbatant (439 sur 743 total facture)</t>
  </si>
  <si>
    <t>Mitigeur - Bricola</t>
  </si>
  <si>
    <t>Cuisine 303 DT sur un total de 743</t>
  </si>
  <si>
    <t>Gaddour Cuisine</t>
  </si>
  <si>
    <t>Travaux SdB par Faouzi</t>
  </si>
  <si>
    <t>Faouzi Ben Cheikh</t>
  </si>
  <si>
    <t>https://drive.google.com/open?id=1ytmsl9KEIkVQezy9hLCIVmmI-50qhiLb</t>
  </si>
  <si>
    <t>Anis</t>
  </si>
  <si>
    <t>Budget donné par Wissem Aout 2022</t>
  </si>
  <si>
    <t>Budget donné par Wissem à Walid Aout 2022 // 22/11/13 - Montant donné par Wissem 5500 (Confirmation Walid)</t>
  </si>
  <si>
    <t>Budget pour travaux SdB</t>
  </si>
  <si>
    <t>Complément Budget pour SdB &amp; Samir</t>
  </si>
  <si>
    <t>Complément peinture cuisine</t>
  </si>
  <si>
    <t>https://drive.google.com/open?id=1yuYPap6xw3h3v7olcRGpeC8Eho_y2_55</t>
  </si>
  <si>
    <t>Clôture Suivi Walid</t>
  </si>
  <si>
    <t>900 Garage - 600 Sour - 100 Armoire</t>
  </si>
  <si>
    <t>https://drive.google.com/open?id=1Gv5v5I88XgxsqnHl7O0v4m3RUJEw9TZG</t>
  </si>
  <si>
    <t>Mise à jour manuelle suite point avec Walid - Retour reste Budget pour Wissem - Mois Août 2022</t>
  </si>
  <si>
    <t>Test</t>
  </si>
  <si>
    <t xml:space="preserve">Test </t>
  </si>
  <si>
    <t>Mise a jour le 23/11/23</t>
  </si>
  <si>
    <t>https://drive.google.com/open?id=1xSUaqei1v0ysg6nE2jTr0eunfMJDxX8t</t>
  </si>
  <si>
    <t>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</si>
</sst>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rgb="FF000000"/>
      <name val="Arial"/>
    </font>
    <font>
      <u/>
      <color rgb="FF0000FF"/>
    </font>
    <font>
      <u/>
      <color rgb="FF0000FF"/>
    </font>
    <font>
      <u/>
      <color rgb="FF0000FF"/>
    </font>
    <font>
      <b/>
      <color rgb="FFFF0000"/>
      <name val="Arial"/>
      <scheme val="minor"/>
    </font>
    <font>
      <u/>
      <color rgb="FF1155CC"/>
    </font>
    <font>
      <u/>
      <color rgb="FF1155CC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63D297"/>
        <bgColor rgb="FF63D297"/>
      </patternFill>
    </fill>
    <fill>
      <patternFill patternType="solid">
        <fgColor rgb="FFFFFFFF"/>
        <bgColor rgb="FFFFFFFF"/>
      </patternFill>
    </fill>
    <fill>
      <patternFill patternType="solid">
        <fgColor rgb="FFE7F9EF"/>
        <bgColor rgb="FFE7F9EF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3" fontId="2" numFmtId="0" xfId="0" applyAlignment="1" applyFill="1" applyFont="1">
      <alignment horizontal="center" readingOrder="0" vertical="center"/>
    </xf>
    <xf borderId="0" fillId="3" fontId="2" numFmtId="0" xfId="0" applyAlignment="1" applyFont="1">
      <alignment horizontal="center" vertical="center"/>
    </xf>
    <xf borderId="0" fillId="3" fontId="2" numFmtId="164" xfId="0" applyAlignment="1" applyFont="1" applyNumberFormat="1">
      <alignment horizontal="center" readingOrder="0" vertical="center"/>
    </xf>
    <xf borderId="0" fillId="3" fontId="2" numFmtId="0" xfId="0" applyAlignment="1" applyFont="1">
      <alignment horizontal="center" readingOrder="0" vertical="center"/>
    </xf>
    <xf borderId="0" fillId="4" fontId="2" numFmtId="0" xfId="0" applyAlignment="1" applyFill="1" applyFont="1">
      <alignment horizontal="center" readingOrder="0" vertical="center"/>
    </xf>
    <xf borderId="0" fillId="4" fontId="2" numFmtId="0" xfId="0" applyAlignment="1" applyFont="1">
      <alignment horizontal="center" vertical="center"/>
    </xf>
    <xf borderId="0" fillId="4" fontId="2" numFmtId="164" xfId="0" applyAlignment="1" applyFont="1" applyNumberFormat="1">
      <alignment horizontal="center" readingOrder="0" vertical="center"/>
    </xf>
    <xf borderId="0" fillId="4" fontId="2" numFmtId="0" xfId="0" applyAlignment="1" applyFont="1">
      <alignment horizontal="center" readingOrder="0" vertical="center"/>
    </xf>
    <xf borderId="0" fillId="4" fontId="3" numFmtId="0" xfId="0" applyAlignment="1" applyFont="1">
      <alignment horizontal="center" readingOrder="0" vertical="center"/>
    </xf>
    <xf borderId="0" fillId="3" fontId="4" numFmtId="0" xfId="0" applyAlignment="1" applyFont="1">
      <alignment horizontal="center" readingOrder="0" vertical="center"/>
    </xf>
    <xf borderId="0" fillId="3" fontId="5" numFmtId="0" xfId="0" applyAlignment="1" applyFont="1">
      <alignment horizontal="center" readingOrder="0" vertical="center"/>
    </xf>
    <xf quotePrefix="1" borderId="0" fillId="3" fontId="2" numFmtId="0" xfId="0" applyAlignment="1" applyFont="1">
      <alignment horizontal="center" readingOrder="0" vertical="center"/>
    </xf>
    <xf borderId="0" fillId="4" fontId="6" numFmtId="0" xfId="0" applyAlignment="1" applyFont="1">
      <alignment horizontal="center" readingOrder="0" vertical="center"/>
    </xf>
    <xf borderId="0" fillId="3" fontId="7" numFmtId="0" xfId="0" applyAlignment="1" applyFont="1">
      <alignment horizontal="center" readingOrder="0" vertical="center"/>
    </xf>
    <xf borderId="0" fillId="4" fontId="8" numFmtId="0" xfId="0" applyAlignment="1" applyFont="1">
      <alignment horizontal="center" readingOrder="0" vertical="center"/>
    </xf>
    <xf borderId="0" fillId="3" fontId="9" numFmtId="0" xfId="0" applyAlignment="1" applyFont="1">
      <alignment horizontal="center" readingOrder="0" vertical="center"/>
    </xf>
    <xf borderId="0" fillId="4" fontId="10" numFmtId="0" xfId="0" applyAlignment="1" applyFont="1">
      <alignment horizontal="center" readingOrder="0" vertical="center"/>
    </xf>
    <xf borderId="0" fillId="4" fontId="2" numFmtId="1" xfId="0" applyAlignment="1" applyFont="1" applyNumberFormat="1">
      <alignment horizontal="center" readingOrder="0" vertical="center"/>
    </xf>
    <xf borderId="0" fillId="3" fontId="2" numFmtId="1" xfId="0" applyAlignment="1" applyFont="1" applyNumberFormat="1">
      <alignment horizontal="center" readingOrder="0" vertical="center"/>
    </xf>
    <xf borderId="0" fillId="4" fontId="2" numFmtId="1" xfId="0" applyAlignment="1" applyFont="1" applyNumberFormat="1">
      <alignment horizontal="center" vertical="center"/>
    </xf>
    <xf borderId="0" fillId="3" fontId="2" numFmtId="1" xfId="0" applyAlignment="1" applyFont="1" applyNumberFormat="1">
      <alignment horizontal="center" vertical="center"/>
    </xf>
    <xf borderId="0" fillId="4" fontId="2" numFmtId="0" xfId="0" applyAlignment="1" applyFont="1">
      <alignment readingOrder="0"/>
    </xf>
    <xf borderId="0" fillId="4" fontId="2" numFmtId="164" xfId="0" applyAlignment="1" applyFont="1" applyNumberFormat="1">
      <alignment readingOrder="0"/>
    </xf>
    <xf borderId="0" fillId="3" fontId="2" numFmtId="0" xfId="0" applyAlignment="1" applyFont="1">
      <alignment readingOrder="0"/>
    </xf>
    <xf borderId="0" fillId="3" fontId="2" numFmtId="164" xfId="0" applyAlignment="1" applyFont="1" applyNumberFormat="1">
      <alignment readingOrder="0"/>
    </xf>
    <xf borderId="0" fillId="3" fontId="11" numFmtId="0" xfId="0" applyAlignment="1" applyFont="1">
      <alignment readingOrder="0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1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2Y6NU9m7Nwyf5Y-r-jysepIcqvhgtNrt" TargetMode="External"/><Relationship Id="rId42" Type="http://schemas.openxmlformats.org/officeDocument/2006/relationships/hyperlink" Target="https://drive.google.com/open?id=1znBmA91jkBiiWJ2qqMc1eGsRwCcArgid" TargetMode="External"/><Relationship Id="rId41" Type="http://schemas.openxmlformats.org/officeDocument/2006/relationships/hyperlink" Target="https://drive.google.com/open?id=1q9SbiC43pS10r6LjT6ZSxsh4DeGhNVu4" TargetMode="External"/><Relationship Id="rId44" Type="http://schemas.openxmlformats.org/officeDocument/2006/relationships/hyperlink" Target="https://drive.google.com/open?id=11Z4hBggYP8_Pp3XsI70WsDVQkk9PrHm5" TargetMode="External"/><Relationship Id="rId43" Type="http://schemas.openxmlformats.org/officeDocument/2006/relationships/hyperlink" Target="https://drive.google.com/open?id=1-KtYZeAOfInQp0x0P8UkxR2Dkghy2v5i" TargetMode="External"/><Relationship Id="rId46" Type="http://schemas.openxmlformats.org/officeDocument/2006/relationships/hyperlink" Target="https://drive.google.com/open?id=196gDUX9yHqJrqMdT8VxBCF9XdqOY6Lqo" TargetMode="External"/><Relationship Id="rId45" Type="http://schemas.openxmlformats.org/officeDocument/2006/relationships/hyperlink" Target="https://drive.google.com/open?id=11MSvRWQ4vA78zbkNMu8YHUD8i_t8XCaA" TargetMode="External"/><Relationship Id="rId1" Type="http://schemas.openxmlformats.org/officeDocument/2006/relationships/hyperlink" Target="https://drive.google.com/open?id=1AmZhoJgh83_3u0o819uWeVPmEbd6B5MZ" TargetMode="External"/><Relationship Id="rId2" Type="http://schemas.openxmlformats.org/officeDocument/2006/relationships/hyperlink" Target="https://drive.google.com/open?id=1sy3ktzj1T4PyVmAz5qHrSZQMOBYCVwHd" TargetMode="External"/><Relationship Id="rId3" Type="http://schemas.openxmlformats.org/officeDocument/2006/relationships/hyperlink" Target="https://drive.google.com/open?id=1PDQBGeZNZ-A9OlwdXULv3O8k8fDH7cEx" TargetMode="External"/><Relationship Id="rId4" Type="http://schemas.openxmlformats.org/officeDocument/2006/relationships/hyperlink" Target="https://drive.google.com/open?id=1iafa1hsq4vO17mYzMXRvi5EUaTA6tHp0" TargetMode="External"/><Relationship Id="rId9" Type="http://schemas.openxmlformats.org/officeDocument/2006/relationships/hyperlink" Target="https://drive.google.com/open?id=1p6man_lQmmysisgnhZHeUfkqbEBgWZgy" TargetMode="External"/><Relationship Id="rId48" Type="http://schemas.openxmlformats.org/officeDocument/2006/relationships/hyperlink" Target="https://drive.google.com/open?id=1aoyLHrLskWXnGEQQX1AgIDebBkfWrm_1" TargetMode="External"/><Relationship Id="rId47" Type="http://schemas.openxmlformats.org/officeDocument/2006/relationships/hyperlink" Target="https://drive.google.com/open?id=1U5c4FyivMXvYqf2RIhma_i6r4S4E-gIh" TargetMode="External"/><Relationship Id="rId49" Type="http://schemas.openxmlformats.org/officeDocument/2006/relationships/hyperlink" Target="https://drive.google.com/open?id=1b38pKqBuwGgCvDRseFTUBKGHxaO4HEzt" TargetMode="External"/><Relationship Id="rId5" Type="http://schemas.openxmlformats.org/officeDocument/2006/relationships/hyperlink" Target="https://drive.google.com/open?id=17ydCpipn2gBXlODeen3gGZ78m4CfJTR7" TargetMode="External"/><Relationship Id="rId6" Type="http://schemas.openxmlformats.org/officeDocument/2006/relationships/hyperlink" Target="https://drive.google.com/open?id=1a4SSQx-9TpjEgYXDTeuZD7hMSx94hfEz" TargetMode="External"/><Relationship Id="rId7" Type="http://schemas.openxmlformats.org/officeDocument/2006/relationships/hyperlink" Target="https://drive.google.com/open?id=1a4SSQx-9TpjEgYXDTeuZD7hMSx94hfEz" TargetMode="External"/><Relationship Id="rId8" Type="http://schemas.openxmlformats.org/officeDocument/2006/relationships/hyperlink" Target="https://drive.google.com/open?id=1q0EUPB-5im1h9ekJL0voTxmrnK2lhn2m" TargetMode="External"/><Relationship Id="rId73" Type="http://schemas.openxmlformats.org/officeDocument/2006/relationships/drawing" Target="../drawings/drawing1.xml"/><Relationship Id="rId72" Type="http://schemas.openxmlformats.org/officeDocument/2006/relationships/hyperlink" Target="https://drive.google.com/open?id=1xSUaqei1v0ysg6nE2jTr0eunfMJDxX8t" TargetMode="External"/><Relationship Id="rId31" Type="http://schemas.openxmlformats.org/officeDocument/2006/relationships/hyperlink" Target="https://drive.google.com/open?id=1Q1lvYbnxGuE-961JvkYxsL8CrxctpRvK" TargetMode="External"/><Relationship Id="rId30" Type="http://schemas.openxmlformats.org/officeDocument/2006/relationships/hyperlink" Target="https://drive.google.com/open?id=10wbwWfehlGrSzKpiMsNMjGLiXAV85uGB" TargetMode="External"/><Relationship Id="rId33" Type="http://schemas.openxmlformats.org/officeDocument/2006/relationships/hyperlink" Target="https://drive.google.com/open?id=1Uz-VDXYcnxsOKBaMhNZo1sW1VDVu7lIu" TargetMode="External"/><Relationship Id="rId32" Type="http://schemas.openxmlformats.org/officeDocument/2006/relationships/hyperlink" Target="https://drive.google.com/open?id=1HvThEmN8Q2cjs9oYD5-ZnhfjIqnojxLT" TargetMode="External"/><Relationship Id="rId35" Type="http://schemas.openxmlformats.org/officeDocument/2006/relationships/hyperlink" Target="https://drive.google.com/open?id=19x1UqgLz7Fmg38U8xjczSplA0gyKHGwp" TargetMode="External"/><Relationship Id="rId34" Type="http://schemas.openxmlformats.org/officeDocument/2006/relationships/hyperlink" Target="https://drive.google.com/open?id=1xxpVBI498V70fxE8fIU30iRJ5TVjpl4X" TargetMode="External"/><Relationship Id="rId71" Type="http://schemas.openxmlformats.org/officeDocument/2006/relationships/hyperlink" Target="https://drive.google.com/open?id=1Gv5v5I88XgxsqnHl7O0v4m3RUJEw9TZG" TargetMode="External"/><Relationship Id="rId70" Type="http://schemas.openxmlformats.org/officeDocument/2006/relationships/hyperlink" Target="https://drive.google.com/open?id=1yuYPap6xw3h3v7olcRGpeC8Eho_y2_55" TargetMode="External"/><Relationship Id="rId37" Type="http://schemas.openxmlformats.org/officeDocument/2006/relationships/hyperlink" Target="https://drive.google.com/open?id=1GB4Z-7zPQysd1SXdvjKPb14Ne5DvoD8M" TargetMode="External"/><Relationship Id="rId36" Type="http://schemas.openxmlformats.org/officeDocument/2006/relationships/hyperlink" Target="https://drive.google.com/open?id=1uAtOhS7QUmXiBG7YUPmVDkDjXEymqJ0n" TargetMode="External"/><Relationship Id="rId39" Type="http://schemas.openxmlformats.org/officeDocument/2006/relationships/hyperlink" Target="https://drive.google.com/open?id=1DWX4bx0jNrTqEhiafy2XKO19_arFharP" TargetMode="External"/><Relationship Id="rId38" Type="http://schemas.openxmlformats.org/officeDocument/2006/relationships/hyperlink" Target="https://drive.google.com/open?id=1iyE17hJRPKdZphlThEi0w8sGymuQLxGE" TargetMode="External"/><Relationship Id="rId62" Type="http://schemas.openxmlformats.org/officeDocument/2006/relationships/hyperlink" Target="https://drive.google.com/open?id=1S37e9IxPN7rtZsEtVmgPhRIXukrCkhBz" TargetMode="External"/><Relationship Id="rId61" Type="http://schemas.openxmlformats.org/officeDocument/2006/relationships/hyperlink" Target="https://drive.google.com/open?id=14UJInOXS6QB7u4Iwt7r0uK2mEA7Ut8AD" TargetMode="External"/><Relationship Id="rId20" Type="http://schemas.openxmlformats.org/officeDocument/2006/relationships/hyperlink" Target="https://drive.google.com/open?id=1ooYgP4PSwXc4rhVJ1XOomPS0Z-D4QBkO" TargetMode="External"/><Relationship Id="rId64" Type="http://schemas.openxmlformats.org/officeDocument/2006/relationships/hyperlink" Target="https://drive.google.com/open?id=1_bj4BUIeBX0oDxzbYgrmjcvtqK_pTYkK" TargetMode="External"/><Relationship Id="rId63" Type="http://schemas.openxmlformats.org/officeDocument/2006/relationships/hyperlink" Target="https://drive.google.com/open?id=1iaymZ1PNHW_37-rFcz2h9u50VmRx6OrS" TargetMode="External"/><Relationship Id="rId22" Type="http://schemas.openxmlformats.org/officeDocument/2006/relationships/hyperlink" Target="https://drive.google.com/open?id=1XLwWFNvhtre10G4mTuqnJKbrcdFSI-Wx" TargetMode="External"/><Relationship Id="rId66" Type="http://schemas.openxmlformats.org/officeDocument/2006/relationships/hyperlink" Target="https://drive.google.com/open?id=1Ovy2QAxb8lLHGHS6ZCi452dScMe7KIAw" TargetMode="External"/><Relationship Id="rId21" Type="http://schemas.openxmlformats.org/officeDocument/2006/relationships/hyperlink" Target="https://drive.google.com/open?id=16o6g60nk1FXlKsOt0h3rLw_VjLEUSVOb" TargetMode="External"/><Relationship Id="rId65" Type="http://schemas.openxmlformats.org/officeDocument/2006/relationships/hyperlink" Target="https://drive.google.com/open?id=1zGggEmazHkl7Kdx_S_9TFMl7YN8C1ZR0" TargetMode="External"/><Relationship Id="rId24" Type="http://schemas.openxmlformats.org/officeDocument/2006/relationships/hyperlink" Target="https://drive.google.com/open?id=1UZjSZ7redqy1E-3YrEdIKJlo-QfM_QjG" TargetMode="External"/><Relationship Id="rId68" Type="http://schemas.openxmlformats.org/officeDocument/2006/relationships/hyperlink" Target="https://drive.google.com/open?id=1se1Pcd_Tt-kGHCzfj8s9qooS6sxukVuE" TargetMode="External"/><Relationship Id="rId23" Type="http://schemas.openxmlformats.org/officeDocument/2006/relationships/hyperlink" Target="https://drive.google.com/file/d/1AClGLCxa03OEull23rId359EgNJrs0o4/view?usp=sharing" TargetMode="External"/><Relationship Id="rId67" Type="http://schemas.openxmlformats.org/officeDocument/2006/relationships/hyperlink" Target="https://drive.google.com/open?id=17Td1ItbbwDLcqAPtw24-6tOcerv_f897" TargetMode="External"/><Relationship Id="rId60" Type="http://schemas.openxmlformats.org/officeDocument/2006/relationships/hyperlink" Target="https://drive.google.com/open?id=13pEqlTsS71i-tDIllqAf7ZiFxI0OR2cu" TargetMode="External"/><Relationship Id="rId26" Type="http://schemas.openxmlformats.org/officeDocument/2006/relationships/hyperlink" Target="https://drive.google.com/open?id=1GDp_-4cU6S3MN_RSo6EOP41BtROl49RD" TargetMode="External"/><Relationship Id="rId25" Type="http://schemas.openxmlformats.org/officeDocument/2006/relationships/hyperlink" Target="https://drive.google.com/open?id=1CWLADtEGNVqZ0zHCOoePMO1sXkDksvRK" TargetMode="External"/><Relationship Id="rId69" Type="http://schemas.openxmlformats.org/officeDocument/2006/relationships/hyperlink" Target="https://drive.google.com/open?id=1ytmsl9KEIkVQezy9hLCIVmmI-50qhiLb" TargetMode="External"/><Relationship Id="rId28" Type="http://schemas.openxmlformats.org/officeDocument/2006/relationships/hyperlink" Target="https://drive.google.com/open?id=1gIfzDgOifK-su6P5jhHQ7Sva0Ztuo3fN" TargetMode="External"/><Relationship Id="rId27" Type="http://schemas.openxmlformats.org/officeDocument/2006/relationships/hyperlink" Target="https://drive.google.com/open?id=12Lqo1tLJIltRobaGd_kc_uZ6CS9SeHai" TargetMode="External"/><Relationship Id="rId29" Type="http://schemas.openxmlformats.org/officeDocument/2006/relationships/hyperlink" Target="https://drive.google.com/open?id=14IR1ConewnCO6FcW9EyesDvW1iXVFPfk" TargetMode="External"/><Relationship Id="rId51" Type="http://schemas.openxmlformats.org/officeDocument/2006/relationships/hyperlink" Target="https://drive.google.com/file/d/1Hst3Upw3uw2XLsOoyjJjLwmL5JF5kkuj/view?usp=sharing" TargetMode="External"/><Relationship Id="rId50" Type="http://schemas.openxmlformats.org/officeDocument/2006/relationships/hyperlink" Target="https://drive.google.com/file/d/1Hst3Upw3uw2XLsOoyjJjLwmL5JF5kkuj/view?usp=sharing" TargetMode="External"/><Relationship Id="rId53" Type="http://schemas.openxmlformats.org/officeDocument/2006/relationships/hyperlink" Target="https://drive.google.com/file/d/1tNjPU4aS2HwumRgmTjVDk3JIZQzW5x2N/view?usp=sharing" TargetMode="External"/><Relationship Id="rId52" Type="http://schemas.openxmlformats.org/officeDocument/2006/relationships/hyperlink" Target="https://drive.google.com/file/d/1Hst3Upw3uw2XLsOoyjJjLwmL5JF5kkuj/view?usp=sharing" TargetMode="External"/><Relationship Id="rId11" Type="http://schemas.openxmlformats.org/officeDocument/2006/relationships/hyperlink" Target="https://drive.google.com/open?id=1gzcoEXsB1dKCBtZA6a2o2MHJKMpBWpA6" TargetMode="External"/><Relationship Id="rId55" Type="http://schemas.openxmlformats.org/officeDocument/2006/relationships/hyperlink" Target="https://drive.google.com/open?id=1vVxLGxxqO9vsXD57httb6225Y0oiqA01" TargetMode="External"/><Relationship Id="rId10" Type="http://schemas.openxmlformats.org/officeDocument/2006/relationships/hyperlink" Target="https://drive.google.com/open?id=1rRh5fW_NeizoS3clA0geCkxeq8sAbl37" TargetMode="External"/><Relationship Id="rId54" Type="http://schemas.openxmlformats.org/officeDocument/2006/relationships/hyperlink" Target="https://drive.google.com/file/d/1tNjPU4aS2HwumRgmTjVDk3JIZQzW5x2N/view?usp=sharing" TargetMode="External"/><Relationship Id="rId13" Type="http://schemas.openxmlformats.org/officeDocument/2006/relationships/hyperlink" Target="https://drive.google.com/open?id=1EnRqpge0AwKuiu0f0oozT6BqX0XKn946" TargetMode="External"/><Relationship Id="rId57" Type="http://schemas.openxmlformats.org/officeDocument/2006/relationships/hyperlink" Target="https://drive.google.com/file/d/1RdM053TAPOcx0awxBBPVdaiwpaTd2fHV/view?usp=sharing" TargetMode="External"/><Relationship Id="rId12" Type="http://schemas.openxmlformats.org/officeDocument/2006/relationships/hyperlink" Target="https://drive.google.com/open?id=1RMbAGp4ka9zNUcYsIErmRg94DLkljdZs" TargetMode="External"/><Relationship Id="rId56" Type="http://schemas.openxmlformats.org/officeDocument/2006/relationships/hyperlink" Target="https://drive.google.com/open?id=1cW-w7epn0uC-uCF-Ul1IQZBLurfJBpoA" TargetMode="External"/><Relationship Id="rId15" Type="http://schemas.openxmlformats.org/officeDocument/2006/relationships/hyperlink" Target="https://drive.google.com/open?id=1FXfEuBQbV3yoVS1LPrhUOLU3ZzXhhhl-" TargetMode="External"/><Relationship Id="rId59" Type="http://schemas.openxmlformats.org/officeDocument/2006/relationships/hyperlink" Target="https://drive.google.com/file/d/1AClGLCxa03OEull23rId359EgNJrs0o4/view?usp=sharing" TargetMode="External"/><Relationship Id="rId14" Type="http://schemas.openxmlformats.org/officeDocument/2006/relationships/hyperlink" Target="https://drive.google.com/open?id=1AXAwmTr1Z5T0zxtYKfBLM8OGWDqcSVIO" TargetMode="External"/><Relationship Id="rId58" Type="http://schemas.openxmlformats.org/officeDocument/2006/relationships/hyperlink" Target="https://drive.google.com/open?id=1qRbu8JGvkNEtu-8V_u4EQSXPcAFPmj2v" TargetMode="External"/><Relationship Id="rId17" Type="http://schemas.openxmlformats.org/officeDocument/2006/relationships/hyperlink" Target="https://drive.google.com/open?id=1mu23mCenAK2PKQXoTAIrNwBCzzduIUc5" TargetMode="External"/><Relationship Id="rId16" Type="http://schemas.openxmlformats.org/officeDocument/2006/relationships/hyperlink" Target="https://drive.google.com/open?id=1cpKctDhMVtcaIYNSgPiXd0dE-RqlGxxu" TargetMode="External"/><Relationship Id="rId19" Type="http://schemas.openxmlformats.org/officeDocument/2006/relationships/hyperlink" Target="https://drive.google.com/open?id=1ykvHvb2vFRTkMDaqpyUAmTCb--pHzJut" TargetMode="External"/><Relationship Id="rId18" Type="http://schemas.openxmlformats.org/officeDocument/2006/relationships/hyperlink" Target="https://drive.google.com/open?id=1Yqi2SnKfjoRP6t9Yhr-9zt7e_nzYzjD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15.5"/>
    <col customWidth="1" min="2" max="3" width="18.88"/>
    <col customWidth="1" min="4" max="4" width="16.25"/>
    <col customWidth="1" min="5" max="5" width="13.25"/>
    <col customWidth="1" min="6" max="6" width="12.75" outlineLevel="1"/>
    <col customWidth="1" min="7" max="7" width="11.25" outlineLevel="1"/>
    <col customWidth="1" min="8" max="8" width="19.38" outlineLevel="1"/>
    <col customWidth="1" min="9" max="9" width="18.13" outlineLevel="1"/>
    <col customWidth="1" min="10" max="10" width="16.0" outlineLevel="1"/>
    <col customWidth="1" min="11" max="11" width="18.13" outlineLevel="1"/>
    <col customWidth="1" min="12" max="12" width="19.75" outlineLevel="1"/>
    <col customWidth="1" min="13" max="13" width="18.88" outlineLevel="1"/>
    <col collapsed="1" customWidth="1" min="14" max="14" width="18.88"/>
    <col customWidth="1" hidden="1" min="15" max="20" width="18.88" outlineLevel="1"/>
    <col customWidth="1" min="21" max="21" width="18.88"/>
    <col customWidth="1" min="22" max="23" width="18.88" outlineLevel="1"/>
    <col customWidth="1" min="24" max="24" width="10.88" outlineLevel="1"/>
    <col customWidth="1" min="25" max="25" width="18.88" outlineLevel="1"/>
    <col customWidth="1" min="26" max="27" width="15.5" outlineLevel="1"/>
    <col customWidth="1" min="28" max="29" width="18.88" outlineLevel="1"/>
    <col customWidth="1" min="30" max="30" width="18.88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hidden="1">
      <c r="A2" s="4" t="s">
        <v>30</v>
      </c>
      <c r="B2" s="5"/>
      <c r="C2" s="4" t="s">
        <v>31</v>
      </c>
      <c r="D2" s="6">
        <v>44512.70755065972</v>
      </c>
      <c r="E2" s="4" t="s">
        <v>32</v>
      </c>
      <c r="F2" s="4">
        <v>2280.0</v>
      </c>
      <c r="G2" s="4"/>
      <c r="H2" s="4" t="s">
        <v>33</v>
      </c>
      <c r="I2" s="7"/>
      <c r="J2" s="4" t="s">
        <v>34</v>
      </c>
      <c r="K2" s="7"/>
      <c r="L2" s="7"/>
      <c r="M2" s="5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4"/>
      <c r="AA2" s="5" t="str">
        <f t="shared" ref="AA2:AA23" si="1">IF(Y2="Euro",IF(ISBLANK(Z2),W2*3.25,W2*Z2),W2)</f>
        <v/>
      </c>
      <c r="AB2" s="7"/>
      <c r="AC2" s="4" t="s">
        <v>35</v>
      </c>
      <c r="AD2" s="7"/>
    </row>
    <row r="3" hidden="1">
      <c r="A3" s="8" t="s">
        <v>30</v>
      </c>
      <c r="B3" s="9"/>
      <c r="C3" s="8" t="s">
        <v>31</v>
      </c>
      <c r="D3" s="10">
        <v>44520.59417136574</v>
      </c>
      <c r="E3" s="8" t="s">
        <v>32</v>
      </c>
      <c r="F3" s="8">
        <v>2830.0</v>
      </c>
      <c r="G3" s="8"/>
      <c r="H3" s="8" t="s">
        <v>36</v>
      </c>
      <c r="I3" s="8" t="s">
        <v>37</v>
      </c>
      <c r="J3" s="8" t="s">
        <v>34</v>
      </c>
      <c r="K3" s="11"/>
      <c r="L3" s="11"/>
      <c r="M3" s="8" t="s">
        <v>38</v>
      </c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8"/>
      <c r="AA3" s="9" t="str">
        <f t="shared" si="1"/>
        <v/>
      </c>
      <c r="AB3" s="11"/>
      <c r="AC3" s="8" t="s">
        <v>35</v>
      </c>
      <c r="AD3" s="11"/>
    </row>
    <row r="4">
      <c r="A4" s="4" t="s">
        <v>30</v>
      </c>
      <c r="B4" s="5"/>
      <c r="C4" s="4" t="s">
        <v>31</v>
      </c>
      <c r="D4" s="6">
        <v>44540.68408380787</v>
      </c>
      <c r="E4" s="4" t="s">
        <v>32</v>
      </c>
      <c r="F4" s="4">
        <v>1000.0</v>
      </c>
      <c r="G4" s="4"/>
      <c r="H4" s="4" t="s">
        <v>39</v>
      </c>
      <c r="I4" s="7"/>
      <c r="J4" s="4" t="s">
        <v>40</v>
      </c>
      <c r="K4" s="7"/>
      <c r="L4" s="7"/>
      <c r="M4" s="5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4"/>
      <c r="AA4" s="5" t="str">
        <f t="shared" si="1"/>
        <v/>
      </c>
      <c r="AB4" s="7"/>
      <c r="AC4" s="4" t="s">
        <v>35</v>
      </c>
      <c r="AD4" s="7"/>
    </row>
    <row r="5" hidden="1">
      <c r="A5" s="8" t="s">
        <v>30</v>
      </c>
      <c r="B5" s="9"/>
      <c r="C5" s="8" t="s">
        <v>31</v>
      </c>
      <c r="D5" s="10">
        <v>44540.68676628472</v>
      </c>
      <c r="E5" s="8" t="s">
        <v>32</v>
      </c>
      <c r="F5" s="8">
        <v>198.0</v>
      </c>
      <c r="G5" s="8"/>
      <c r="H5" s="8" t="s">
        <v>36</v>
      </c>
      <c r="I5" s="8" t="s">
        <v>41</v>
      </c>
      <c r="J5" s="8" t="s">
        <v>34</v>
      </c>
      <c r="K5" s="11"/>
      <c r="L5" s="8" t="s">
        <v>42</v>
      </c>
      <c r="M5" s="8" t="s">
        <v>43</v>
      </c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8"/>
      <c r="AA5" s="9" t="str">
        <f t="shared" si="1"/>
        <v/>
      </c>
      <c r="AB5" s="11"/>
      <c r="AC5" s="8" t="s">
        <v>35</v>
      </c>
      <c r="AD5" s="11"/>
    </row>
    <row r="6" hidden="1">
      <c r="A6" s="4" t="s">
        <v>30</v>
      </c>
      <c r="B6" s="5"/>
      <c r="C6" s="4" t="s">
        <v>31</v>
      </c>
      <c r="D6" s="6">
        <v>44540.68676628472</v>
      </c>
      <c r="E6" s="4" t="s">
        <v>32</v>
      </c>
      <c r="F6" s="4">
        <f>276.5-198</f>
        <v>78.5</v>
      </c>
      <c r="G6" s="4"/>
      <c r="H6" s="4" t="s">
        <v>36</v>
      </c>
      <c r="I6" s="4" t="s">
        <v>41</v>
      </c>
      <c r="J6" s="4" t="s">
        <v>40</v>
      </c>
      <c r="K6" s="7"/>
      <c r="L6" s="4" t="s">
        <v>42</v>
      </c>
      <c r="M6" s="4" t="s">
        <v>43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4"/>
      <c r="AA6" s="5" t="str">
        <f t="shared" si="1"/>
        <v/>
      </c>
      <c r="AB6" s="7"/>
      <c r="AC6" s="4" t="s">
        <v>35</v>
      </c>
      <c r="AD6" s="7"/>
    </row>
    <row r="7">
      <c r="A7" s="8" t="s">
        <v>44</v>
      </c>
      <c r="B7" s="9"/>
      <c r="C7" s="8" t="s">
        <v>31</v>
      </c>
      <c r="D7" s="10">
        <v>44551.73474840278</v>
      </c>
      <c r="E7" s="8" t="s">
        <v>32</v>
      </c>
      <c r="F7" s="8">
        <v>1000.0</v>
      </c>
      <c r="G7" s="8"/>
      <c r="H7" s="8" t="s">
        <v>39</v>
      </c>
      <c r="I7" s="11"/>
      <c r="J7" s="8" t="s">
        <v>40</v>
      </c>
      <c r="K7" s="11"/>
      <c r="L7" s="11"/>
      <c r="M7" s="12" t="s">
        <v>45</v>
      </c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8"/>
      <c r="AA7" s="9" t="str">
        <f t="shared" si="1"/>
        <v/>
      </c>
      <c r="AB7" s="11"/>
      <c r="AC7" s="8" t="s">
        <v>35</v>
      </c>
      <c r="AD7" s="11"/>
    </row>
    <row r="8" hidden="1">
      <c r="A8" s="4" t="s">
        <v>44</v>
      </c>
      <c r="B8" s="5"/>
      <c r="C8" s="4" t="s">
        <v>31</v>
      </c>
      <c r="D8" s="6">
        <v>44551.74258997686</v>
      </c>
      <c r="E8" s="4" t="s">
        <v>32</v>
      </c>
      <c r="F8" s="4">
        <v>9700.0</v>
      </c>
      <c r="G8" s="4"/>
      <c r="H8" s="4" t="s">
        <v>36</v>
      </c>
      <c r="I8" s="4" t="s">
        <v>46</v>
      </c>
      <c r="J8" s="4" t="s">
        <v>40</v>
      </c>
      <c r="K8" s="7"/>
      <c r="L8" s="7"/>
      <c r="M8" s="4" t="s">
        <v>47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4"/>
      <c r="AA8" s="5" t="str">
        <f t="shared" si="1"/>
        <v/>
      </c>
      <c r="AB8" s="7"/>
      <c r="AC8" s="4" t="s">
        <v>35</v>
      </c>
      <c r="AD8" s="7"/>
    </row>
    <row r="9" hidden="1">
      <c r="A9" s="8" t="s">
        <v>44</v>
      </c>
      <c r="B9" s="9"/>
      <c r="C9" s="8" t="s">
        <v>31</v>
      </c>
      <c r="D9" s="10">
        <v>44551.746409375</v>
      </c>
      <c r="E9" s="8" t="s">
        <v>32</v>
      </c>
      <c r="F9" s="8">
        <v>135.0</v>
      </c>
      <c r="G9" s="8"/>
      <c r="H9" s="8" t="s">
        <v>48</v>
      </c>
      <c r="I9" s="8" t="s">
        <v>49</v>
      </c>
      <c r="J9" s="8" t="s">
        <v>34</v>
      </c>
      <c r="K9" s="11"/>
      <c r="L9" s="11"/>
      <c r="M9" s="12" t="s">
        <v>50</v>
      </c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8"/>
      <c r="AA9" s="9" t="str">
        <f t="shared" si="1"/>
        <v/>
      </c>
      <c r="AB9" s="11"/>
      <c r="AC9" s="8" t="s">
        <v>35</v>
      </c>
      <c r="AD9" s="11"/>
    </row>
    <row r="10" hidden="1">
      <c r="A10" s="4" t="s">
        <v>44</v>
      </c>
      <c r="B10" s="5"/>
      <c r="C10" s="4" t="s">
        <v>31</v>
      </c>
      <c r="D10" s="6">
        <v>44551.77813234954</v>
      </c>
      <c r="E10" s="4" t="s">
        <v>32</v>
      </c>
      <c r="F10" s="4">
        <f>705+50</f>
        <v>755</v>
      </c>
      <c r="G10" s="4"/>
      <c r="H10" s="4" t="s">
        <v>36</v>
      </c>
      <c r="I10" s="4" t="s">
        <v>51</v>
      </c>
      <c r="J10" s="4" t="s">
        <v>52</v>
      </c>
      <c r="K10" s="13" t="s">
        <v>53</v>
      </c>
      <c r="L10" s="7"/>
      <c r="M10" s="4" t="s">
        <v>54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4"/>
      <c r="AA10" s="5" t="str">
        <f t="shared" si="1"/>
        <v/>
      </c>
      <c r="AB10" s="7"/>
      <c r="AC10" s="4" t="s">
        <v>35</v>
      </c>
      <c r="AD10" s="7"/>
    </row>
    <row r="11">
      <c r="A11" s="8" t="s">
        <v>44</v>
      </c>
      <c r="B11" s="9"/>
      <c r="C11" s="8" t="s">
        <v>31</v>
      </c>
      <c r="D11" s="10">
        <v>44554.83763165509</v>
      </c>
      <c r="E11" s="8" t="s">
        <v>32</v>
      </c>
      <c r="F11" s="8">
        <v>2000.0</v>
      </c>
      <c r="G11" s="8"/>
      <c r="H11" s="8" t="s">
        <v>39</v>
      </c>
      <c r="I11" s="11"/>
      <c r="J11" s="8" t="s">
        <v>40</v>
      </c>
      <c r="K11" s="8"/>
      <c r="L11" s="11"/>
      <c r="M11" s="12" t="s">
        <v>55</v>
      </c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8"/>
      <c r="AA11" s="9" t="str">
        <f t="shared" si="1"/>
        <v/>
      </c>
      <c r="AB11" s="11"/>
      <c r="AC11" s="8" t="s">
        <v>35</v>
      </c>
      <c r="AD11" s="11"/>
    </row>
    <row r="12" hidden="1">
      <c r="A12" s="4" t="s">
        <v>56</v>
      </c>
      <c r="B12" s="5"/>
      <c r="C12" s="4" t="s">
        <v>31</v>
      </c>
      <c r="D12" s="6">
        <v>44557.8205349537</v>
      </c>
      <c r="E12" s="4" t="s">
        <v>32</v>
      </c>
      <c r="F12" s="4">
        <v>1000.0</v>
      </c>
      <c r="G12" s="4"/>
      <c r="H12" s="4" t="s">
        <v>57</v>
      </c>
      <c r="I12" s="7"/>
      <c r="J12" s="4" t="s">
        <v>52</v>
      </c>
      <c r="K12" s="4" t="s">
        <v>58</v>
      </c>
      <c r="L12" s="5"/>
      <c r="M12" s="5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4"/>
      <c r="AA12" s="5" t="str">
        <f t="shared" si="1"/>
        <v/>
      </c>
      <c r="AB12" s="7"/>
      <c r="AC12" s="4" t="s">
        <v>35</v>
      </c>
      <c r="AD12" s="7"/>
    </row>
    <row r="13">
      <c r="A13" s="8" t="s">
        <v>59</v>
      </c>
      <c r="B13" s="9"/>
      <c r="C13" s="8" t="s">
        <v>31</v>
      </c>
      <c r="D13" s="10">
        <v>44569.76224414352</v>
      </c>
      <c r="E13" s="8" t="s">
        <v>32</v>
      </c>
      <c r="F13" s="8">
        <v>1000.0</v>
      </c>
      <c r="G13" s="8"/>
      <c r="H13" s="8" t="s">
        <v>39</v>
      </c>
      <c r="I13" s="11"/>
      <c r="J13" s="8" t="s">
        <v>34</v>
      </c>
      <c r="K13" s="11"/>
      <c r="L13" s="9"/>
      <c r="M13" s="12" t="s">
        <v>60</v>
      </c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8"/>
      <c r="AA13" s="9" t="str">
        <f t="shared" si="1"/>
        <v/>
      </c>
      <c r="AB13" s="11"/>
      <c r="AC13" s="8" t="s">
        <v>35</v>
      </c>
      <c r="AD13" s="11"/>
    </row>
    <row r="14" hidden="1">
      <c r="A14" s="4" t="s">
        <v>59</v>
      </c>
      <c r="B14" s="5"/>
      <c r="C14" s="4" t="s">
        <v>31</v>
      </c>
      <c r="D14" s="6">
        <v>44569.76444966435</v>
      </c>
      <c r="E14" s="4" t="s">
        <v>32</v>
      </c>
      <c r="F14" s="4">
        <v>63.0</v>
      </c>
      <c r="G14" s="4"/>
      <c r="H14" s="4" t="s">
        <v>36</v>
      </c>
      <c r="I14" s="4" t="s">
        <v>61</v>
      </c>
      <c r="J14" s="4" t="s">
        <v>40</v>
      </c>
      <c r="K14" s="7"/>
      <c r="L14" s="4" t="s">
        <v>62</v>
      </c>
      <c r="M14" s="4" t="s">
        <v>63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4"/>
      <c r="AA14" s="5" t="str">
        <f t="shared" si="1"/>
        <v/>
      </c>
      <c r="AB14" s="7"/>
      <c r="AC14" s="4" t="s">
        <v>35</v>
      </c>
      <c r="AD14" s="7"/>
    </row>
    <row r="15" hidden="1">
      <c r="A15" s="8" t="s">
        <v>59</v>
      </c>
      <c r="B15" s="9"/>
      <c r="C15" s="8" t="s">
        <v>31</v>
      </c>
      <c r="D15" s="10">
        <v>44569.76595690972</v>
      </c>
      <c r="E15" s="8" t="s">
        <v>32</v>
      </c>
      <c r="F15" s="8">
        <v>1500.0</v>
      </c>
      <c r="G15" s="8"/>
      <c r="H15" s="8" t="s">
        <v>57</v>
      </c>
      <c r="I15" s="11"/>
      <c r="J15" s="8" t="s">
        <v>52</v>
      </c>
      <c r="K15" s="8" t="s">
        <v>64</v>
      </c>
      <c r="L15" s="8" t="s">
        <v>65</v>
      </c>
      <c r="M15" s="9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8"/>
      <c r="AA15" s="9" t="str">
        <f t="shared" si="1"/>
        <v/>
      </c>
      <c r="AB15" s="11"/>
      <c r="AC15" s="8" t="s">
        <v>35</v>
      </c>
      <c r="AD15" s="11"/>
    </row>
    <row r="16" hidden="1">
      <c r="A16" s="4" t="s">
        <v>59</v>
      </c>
      <c r="B16" s="4"/>
      <c r="C16" s="4" t="s">
        <v>31</v>
      </c>
      <c r="D16" s="6">
        <v>44569.76761011574</v>
      </c>
      <c r="E16" s="4" t="s">
        <v>32</v>
      </c>
      <c r="F16" s="4">
        <v>285.0</v>
      </c>
      <c r="G16" s="4"/>
      <c r="H16" s="4" t="s">
        <v>57</v>
      </c>
      <c r="I16" s="7"/>
      <c r="J16" s="4" t="s">
        <v>66</v>
      </c>
      <c r="K16" s="4" t="s">
        <v>67</v>
      </c>
      <c r="L16" s="4" t="s">
        <v>68</v>
      </c>
      <c r="M16" s="14" t="s">
        <v>69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4"/>
      <c r="AA16" s="5" t="str">
        <f t="shared" si="1"/>
        <v/>
      </c>
      <c r="AB16" s="7"/>
      <c r="AC16" s="4" t="s">
        <v>35</v>
      </c>
      <c r="AD16" s="7"/>
    </row>
    <row r="17" hidden="1">
      <c r="A17" s="8" t="s">
        <v>70</v>
      </c>
      <c r="B17" s="8"/>
      <c r="C17" s="8" t="s">
        <v>31</v>
      </c>
      <c r="D17" s="10">
        <v>44583.765949629626</v>
      </c>
      <c r="E17" s="8" t="s">
        <v>32</v>
      </c>
      <c r="F17" s="8">
        <v>600.0</v>
      </c>
      <c r="G17" s="8"/>
      <c r="H17" s="8" t="s">
        <v>57</v>
      </c>
      <c r="I17" s="11"/>
      <c r="J17" s="8" t="s">
        <v>66</v>
      </c>
      <c r="K17" s="8" t="s">
        <v>71</v>
      </c>
      <c r="L17" s="8" t="s">
        <v>72</v>
      </c>
      <c r="M17" s="12" t="s">
        <v>73</v>
      </c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8"/>
      <c r="AA17" s="9" t="str">
        <f t="shared" si="1"/>
        <v/>
      </c>
      <c r="AB17" s="11"/>
      <c r="AC17" s="8" t="s">
        <v>35</v>
      </c>
      <c r="AD17" s="11"/>
    </row>
    <row r="18" hidden="1">
      <c r="A18" s="4" t="s">
        <v>70</v>
      </c>
      <c r="B18" s="4"/>
      <c r="C18" s="4" t="s">
        <v>31</v>
      </c>
      <c r="D18" s="6">
        <v>44583.765949629626</v>
      </c>
      <c r="E18" s="4" t="s">
        <v>32</v>
      </c>
      <c r="F18" s="4">
        <v>1200.0</v>
      </c>
      <c r="G18" s="4"/>
      <c r="H18" s="4" t="s">
        <v>57</v>
      </c>
      <c r="I18" s="7"/>
      <c r="J18" s="4" t="s">
        <v>52</v>
      </c>
      <c r="K18" s="4" t="s">
        <v>71</v>
      </c>
      <c r="L18" s="4" t="s">
        <v>72</v>
      </c>
      <c r="M18" s="14" t="s">
        <v>73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4"/>
      <c r="AA18" s="5" t="str">
        <f t="shared" si="1"/>
        <v/>
      </c>
      <c r="AB18" s="7"/>
      <c r="AC18" s="4" t="s">
        <v>35</v>
      </c>
      <c r="AD18" s="7"/>
    </row>
    <row r="19" hidden="1">
      <c r="A19" s="8" t="s">
        <v>70</v>
      </c>
      <c r="B19" s="8"/>
      <c r="C19" s="8" t="s">
        <v>31</v>
      </c>
      <c r="D19" s="10">
        <v>44583.767797465276</v>
      </c>
      <c r="E19" s="8" t="s">
        <v>32</v>
      </c>
      <c r="F19" s="8">
        <v>267.0</v>
      </c>
      <c r="G19" s="8"/>
      <c r="H19" s="8" t="s">
        <v>57</v>
      </c>
      <c r="I19" s="11"/>
      <c r="J19" s="8" t="s">
        <v>66</v>
      </c>
      <c r="K19" s="8" t="s">
        <v>67</v>
      </c>
      <c r="L19" s="9"/>
      <c r="M19" s="12" t="s">
        <v>74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8"/>
      <c r="AA19" s="9" t="str">
        <f t="shared" si="1"/>
        <v/>
      </c>
      <c r="AB19" s="11"/>
      <c r="AC19" s="8" t="s">
        <v>35</v>
      </c>
      <c r="AD19" s="11"/>
    </row>
    <row r="20" hidden="1">
      <c r="A20" s="4" t="s">
        <v>70</v>
      </c>
      <c r="B20" s="5"/>
      <c r="C20" s="4" t="s">
        <v>31</v>
      </c>
      <c r="D20" s="6">
        <v>44583.769266793985</v>
      </c>
      <c r="E20" s="4" t="s">
        <v>32</v>
      </c>
      <c r="F20" s="4">
        <v>411.5</v>
      </c>
      <c r="G20" s="4"/>
      <c r="H20" s="4" t="s">
        <v>75</v>
      </c>
      <c r="I20" s="4" t="s">
        <v>76</v>
      </c>
      <c r="J20" s="4" t="s">
        <v>34</v>
      </c>
      <c r="K20" s="7"/>
      <c r="L20" s="5"/>
      <c r="M20" s="14" t="s">
        <v>77</v>
      </c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4"/>
      <c r="AA20" s="5" t="str">
        <f t="shared" si="1"/>
        <v/>
      </c>
      <c r="AB20" s="7"/>
      <c r="AC20" s="4" t="s">
        <v>35</v>
      </c>
      <c r="AD20" s="7"/>
    </row>
    <row r="21" hidden="1">
      <c r="A21" s="8" t="s">
        <v>70</v>
      </c>
      <c r="B21" s="9"/>
      <c r="C21" s="8" t="s">
        <v>31</v>
      </c>
      <c r="D21" s="10">
        <v>44583.77124108796</v>
      </c>
      <c r="E21" s="8" t="s">
        <v>32</v>
      </c>
      <c r="F21" s="8">
        <v>1000.0</v>
      </c>
      <c r="G21" s="8"/>
      <c r="H21" s="8" t="s">
        <v>33</v>
      </c>
      <c r="I21" s="11"/>
      <c r="J21" s="8" t="s">
        <v>40</v>
      </c>
      <c r="K21" s="11"/>
      <c r="L21" s="9"/>
      <c r="M21" s="9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8"/>
      <c r="AA21" s="9" t="str">
        <f t="shared" si="1"/>
        <v/>
      </c>
      <c r="AB21" s="11"/>
      <c r="AC21" s="8" t="s">
        <v>35</v>
      </c>
      <c r="AD21" s="11"/>
    </row>
    <row r="22">
      <c r="A22" s="4" t="s">
        <v>70</v>
      </c>
      <c r="B22" s="5"/>
      <c r="C22" s="4" t="s">
        <v>31</v>
      </c>
      <c r="D22" s="6">
        <v>44583.777284791664</v>
      </c>
      <c r="E22" s="4" t="s">
        <v>32</v>
      </c>
      <c r="F22" s="4">
        <v>1000.0</v>
      </c>
      <c r="G22" s="4"/>
      <c r="H22" s="4" t="s">
        <v>39</v>
      </c>
      <c r="I22" s="7"/>
      <c r="J22" s="4" t="s">
        <v>34</v>
      </c>
      <c r="K22" s="7"/>
      <c r="L22" s="15" t="s">
        <v>78</v>
      </c>
      <c r="M22" s="5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4"/>
      <c r="AA22" s="5" t="str">
        <f t="shared" si="1"/>
        <v/>
      </c>
      <c r="AB22" s="7"/>
      <c r="AC22" s="4" t="s">
        <v>35</v>
      </c>
      <c r="AD22" s="7"/>
    </row>
    <row r="23" hidden="1">
      <c r="A23" s="8" t="s">
        <v>70</v>
      </c>
      <c r="B23" s="9"/>
      <c r="C23" s="8" t="s">
        <v>31</v>
      </c>
      <c r="D23" s="10">
        <v>44584.50961259259</v>
      </c>
      <c r="E23" s="8" t="s">
        <v>32</v>
      </c>
      <c r="F23" s="8">
        <v>1500.0</v>
      </c>
      <c r="G23" s="8"/>
      <c r="H23" s="8" t="s">
        <v>79</v>
      </c>
      <c r="I23" s="11"/>
      <c r="J23" s="8" t="s">
        <v>34</v>
      </c>
      <c r="K23" s="11"/>
      <c r="L23" s="9"/>
      <c r="M23" s="9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8"/>
      <c r="AA23" s="9" t="str">
        <f t="shared" si="1"/>
        <v/>
      </c>
      <c r="AB23" s="11"/>
      <c r="AC23" s="8" t="s">
        <v>35</v>
      </c>
      <c r="AD23" s="11"/>
    </row>
    <row r="24" hidden="1">
      <c r="A24" s="4" t="s">
        <v>70</v>
      </c>
      <c r="B24" s="5"/>
      <c r="C24" s="4" t="s">
        <v>31</v>
      </c>
      <c r="D24" s="6">
        <v>44590.706916932875</v>
      </c>
      <c r="E24" s="4" t="s">
        <v>80</v>
      </c>
      <c r="F24" s="4">
        <v>2240.0</v>
      </c>
      <c r="G24" s="4"/>
      <c r="H24" s="4" t="s">
        <v>48</v>
      </c>
      <c r="I24" s="4" t="s">
        <v>81</v>
      </c>
      <c r="J24" s="4" t="s">
        <v>34</v>
      </c>
      <c r="K24" s="7"/>
      <c r="L24" s="4" t="s">
        <v>82</v>
      </c>
      <c r="M24" s="14" t="s">
        <v>83</v>
      </c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4" t="s">
        <v>35</v>
      </c>
      <c r="AD24" s="7"/>
    </row>
    <row r="25">
      <c r="A25" s="8" t="s">
        <v>70</v>
      </c>
      <c r="B25" s="9"/>
      <c r="C25" s="8" t="s">
        <v>31</v>
      </c>
      <c r="D25" s="10">
        <v>44591.2753425</v>
      </c>
      <c r="E25" s="8" t="s">
        <v>80</v>
      </c>
      <c r="F25" s="8">
        <v>50.0</v>
      </c>
      <c r="G25" s="8"/>
      <c r="H25" s="8" t="s">
        <v>39</v>
      </c>
      <c r="I25" s="11"/>
      <c r="J25" s="8" t="s">
        <v>40</v>
      </c>
      <c r="K25" s="11"/>
      <c r="L25" s="8" t="s">
        <v>84</v>
      </c>
      <c r="M25" s="9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8" t="s">
        <v>35</v>
      </c>
      <c r="AD25" s="11"/>
    </row>
    <row r="26" hidden="1">
      <c r="A26" s="4" t="s">
        <v>70</v>
      </c>
      <c r="B26" s="5"/>
      <c r="C26" s="4" t="s">
        <v>31</v>
      </c>
      <c r="D26" s="6">
        <v>44591.63919671296</v>
      </c>
      <c r="E26" s="4" t="s">
        <v>80</v>
      </c>
      <c r="F26" s="4">
        <v>785.0</v>
      </c>
      <c r="G26" s="4"/>
      <c r="H26" s="4" t="s">
        <v>85</v>
      </c>
      <c r="I26" s="7"/>
      <c r="J26" s="4" t="s">
        <v>34</v>
      </c>
      <c r="K26" s="7"/>
      <c r="L26" s="4" t="s">
        <v>86</v>
      </c>
      <c r="M26" s="5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4" t="s">
        <v>35</v>
      </c>
      <c r="AD26" s="7"/>
    </row>
    <row r="27" hidden="1">
      <c r="A27" s="8" t="s">
        <v>70</v>
      </c>
      <c r="B27" s="8" t="s">
        <v>87</v>
      </c>
      <c r="C27" s="8" t="s">
        <v>31</v>
      </c>
      <c r="D27" s="10">
        <v>44591.90098025463</v>
      </c>
      <c r="E27" s="8" t="s">
        <v>32</v>
      </c>
      <c r="F27" s="8">
        <v>300.0</v>
      </c>
      <c r="G27" s="8"/>
      <c r="H27" s="8" t="s">
        <v>88</v>
      </c>
      <c r="I27" s="11"/>
      <c r="J27" s="8" t="s">
        <v>40</v>
      </c>
      <c r="K27" s="11"/>
      <c r="L27" s="8" t="s">
        <v>89</v>
      </c>
      <c r="M27" s="8" t="s">
        <v>90</v>
      </c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8" t="s">
        <v>35</v>
      </c>
      <c r="AD27" s="11"/>
    </row>
    <row r="28" hidden="1">
      <c r="A28" s="4" t="s">
        <v>70</v>
      </c>
      <c r="B28" s="4" t="s">
        <v>87</v>
      </c>
      <c r="C28" s="4" t="s">
        <v>31</v>
      </c>
      <c r="D28" s="6">
        <v>44591.90098025463</v>
      </c>
      <c r="E28" s="4" t="s">
        <v>32</v>
      </c>
      <c r="F28" s="4">
        <v>280.0</v>
      </c>
      <c r="G28" s="4"/>
      <c r="H28" s="4" t="s">
        <v>85</v>
      </c>
      <c r="I28" s="7"/>
      <c r="J28" s="4" t="s">
        <v>40</v>
      </c>
      <c r="K28" s="7"/>
      <c r="L28" s="4" t="s">
        <v>89</v>
      </c>
      <c r="M28" s="4" t="s">
        <v>90</v>
      </c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4" t="s">
        <v>35</v>
      </c>
      <c r="AD28" s="7"/>
    </row>
    <row r="29" hidden="1">
      <c r="A29" s="8" t="s">
        <v>70</v>
      </c>
      <c r="B29" s="9"/>
      <c r="C29" s="8" t="s">
        <v>31</v>
      </c>
      <c r="D29" s="10">
        <v>44591.903399710645</v>
      </c>
      <c r="E29" s="8" t="s">
        <v>80</v>
      </c>
      <c r="F29" s="8">
        <v>700.0</v>
      </c>
      <c r="G29" s="8"/>
      <c r="H29" s="8" t="s">
        <v>36</v>
      </c>
      <c r="I29" s="8" t="s">
        <v>37</v>
      </c>
      <c r="J29" s="8" t="s">
        <v>40</v>
      </c>
      <c r="K29" s="11"/>
      <c r="L29" s="8" t="s">
        <v>91</v>
      </c>
      <c r="M29" s="16" t="s">
        <v>92</v>
      </c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8" t="s">
        <v>35</v>
      </c>
      <c r="AD29" s="11"/>
    </row>
    <row r="30" hidden="1">
      <c r="A30" s="4" t="s">
        <v>93</v>
      </c>
      <c r="B30" s="5"/>
      <c r="C30" s="4" t="s">
        <v>31</v>
      </c>
      <c r="D30" s="6">
        <v>44620.781561875</v>
      </c>
      <c r="E30" s="4" t="s">
        <v>32</v>
      </c>
      <c r="F30" s="4">
        <v>2000.0</v>
      </c>
      <c r="G30" s="4"/>
      <c r="H30" s="4" t="s">
        <v>33</v>
      </c>
      <c r="I30" s="7"/>
      <c r="J30" s="4" t="s">
        <v>40</v>
      </c>
      <c r="K30" s="7"/>
      <c r="L30" s="5"/>
      <c r="M30" s="5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4"/>
      <c r="AA30" s="5" t="str">
        <f t="shared" ref="AA30:AA98" si="2">IF(Y30="Euro",IF(ISBLANK(Z30),W30*3.25,W30*Z30),W30)</f>
        <v/>
      </c>
      <c r="AB30" s="7"/>
      <c r="AC30" s="4" t="s">
        <v>35</v>
      </c>
      <c r="AD30" s="7"/>
    </row>
    <row r="31" hidden="1">
      <c r="A31" s="8" t="s">
        <v>94</v>
      </c>
      <c r="B31" s="9"/>
      <c r="C31" s="8" t="s">
        <v>31</v>
      </c>
      <c r="D31" s="10">
        <v>44620.7821765625</v>
      </c>
      <c r="E31" s="8" t="s">
        <v>32</v>
      </c>
      <c r="F31" s="8">
        <v>400.0</v>
      </c>
      <c r="G31" s="8"/>
      <c r="H31" s="8" t="s">
        <v>75</v>
      </c>
      <c r="I31" s="8" t="s">
        <v>95</v>
      </c>
      <c r="J31" s="8" t="s">
        <v>34</v>
      </c>
      <c r="K31" s="11"/>
      <c r="L31" s="8" t="s">
        <v>96</v>
      </c>
      <c r="M31" s="9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8"/>
      <c r="AA31" s="9" t="str">
        <f t="shared" si="2"/>
        <v/>
      </c>
      <c r="AB31" s="11"/>
      <c r="AC31" s="8" t="s">
        <v>35</v>
      </c>
      <c r="AD31" s="11"/>
    </row>
    <row r="32">
      <c r="A32" s="4" t="s">
        <v>93</v>
      </c>
      <c r="B32" s="5"/>
      <c r="C32" s="4" t="s">
        <v>31</v>
      </c>
      <c r="D32" s="6">
        <v>44620.78406024305</v>
      </c>
      <c r="E32" s="4" t="s">
        <v>32</v>
      </c>
      <c r="F32" s="4">
        <v>1000.0</v>
      </c>
      <c r="G32" s="4"/>
      <c r="H32" s="4" t="s">
        <v>39</v>
      </c>
      <c r="I32" s="7"/>
      <c r="J32" s="4" t="s">
        <v>40</v>
      </c>
      <c r="K32" s="7"/>
      <c r="L32" s="5"/>
      <c r="M32" s="14" t="s">
        <v>97</v>
      </c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4"/>
      <c r="AA32" s="5" t="str">
        <f t="shared" si="2"/>
        <v/>
      </c>
      <c r="AB32" s="7"/>
      <c r="AC32" s="4" t="s">
        <v>35</v>
      </c>
      <c r="AD32" s="7"/>
    </row>
    <row r="33">
      <c r="A33" s="8" t="s">
        <v>93</v>
      </c>
      <c r="B33" s="9"/>
      <c r="C33" s="8" t="s">
        <v>31</v>
      </c>
      <c r="D33" s="10">
        <v>44623.86575920139</v>
      </c>
      <c r="E33" s="8" t="s">
        <v>32</v>
      </c>
      <c r="F33" s="8">
        <v>1000.0</v>
      </c>
      <c r="G33" s="8"/>
      <c r="H33" s="8" t="s">
        <v>39</v>
      </c>
      <c r="I33" s="11"/>
      <c r="J33" s="8" t="s">
        <v>40</v>
      </c>
      <c r="K33" s="11"/>
      <c r="L33" s="9"/>
      <c r="M33" s="12" t="s">
        <v>98</v>
      </c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8"/>
      <c r="AA33" s="9" t="str">
        <f t="shared" si="2"/>
        <v/>
      </c>
      <c r="AB33" s="11"/>
      <c r="AC33" s="8" t="s">
        <v>35</v>
      </c>
      <c r="AD33" s="11"/>
    </row>
    <row r="34" hidden="1">
      <c r="A34" s="4" t="s">
        <v>93</v>
      </c>
      <c r="B34" s="5"/>
      <c r="C34" s="4" t="s">
        <v>31</v>
      </c>
      <c r="D34" s="6">
        <v>44625.825677650464</v>
      </c>
      <c r="E34" s="4" t="s">
        <v>99</v>
      </c>
      <c r="F34" s="4">
        <v>720.0</v>
      </c>
      <c r="G34" s="4"/>
      <c r="H34" s="4" t="s">
        <v>100</v>
      </c>
      <c r="I34" s="7"/>
      <c r="J34" s="4" t="s">
        <v>52</v>
      </c>
      <c r="K34" s="4" t="s">
        <v>101</v>
      </c>
      <c r="L34" s="4" t="s">
        <v>102</v>
      </c>
      <c r="M34" s="5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4"/>
      <c r="AA34" s="5" t="str">
        <f t="shared" si="2"/>
        <v/>
      </c>
      <c r="AB34" s="7"/>
      <c r="AC34" s="4" t="s">
        <v>35</v>
      </c>
      <c r="AD34" s="7"/>
    </row>
    <row r="35" hidden="1">
      <c r="A35" s="8" t="s">
        <v>93</v>
      </c>
      <c r="B35" s="9"/>
      <c r="C35" s="8" t="s">
        <v>31</v>
      </c>
      <c r="D35" s="10">
        <v>44626.27935318287</v>
      </c>
      <c r="E35" s="8" t="s">
        <v>99</v>
      </c>
      <c r="F35" s="8">
        <v>2250.0</v>
      </c>
      <c r="G35" s="8"/>
      <c r="H35" s="8" t="s">
        <v>36</v>
      </c>
      <c r="I35" s="8" t="s">
        <v>103</v>
      </c>
      <c r="J35" s="8" t="s">
        <v>52</v>
      </c>
      <c r="K35" s="8" t="s">
        <v>104</v>
      </c>
      <c r="L35" s="8" t="s">
        <v>105</v>
      </c>
      <c r="M35" s="9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8"/>
      <c r="AA35" s="9" t="str">
        <f t="shared" si="2"/>
        <v/>
      </c>
      <c r="AB35" s="11"/>
      <c r="AC35" s="8" t="s">
        <v>35</v>
      </c>
      <c r="AD35" s="11"/>
    </row>
    <row r="36" hidden="1">
      <c r="A36" s="4" t="s">
        <v>93</v>
      </c>
      <c r="B36" s="4" t="s">
        <v>106</v>
      </c>
      <c r="C36" s="4" t="s">
        <v>31</v>
      </c>
      <c r="D36" s="6">
        <v>44626.28072541667</v>
      </c>
      <c r="E36" s="4" t="s">
        <v>99</v>
      </c>
      <c r="F36" s="4">
        <v>500.0</v>
      </c>
      <c r="G36" s="4"/>
      <c r="H36" s="4" t="s">
        <v>33</v>
      </c>
      <c r="I36" s="7"/>
      <c r="J36" s="4" t="s">
        <v>52</v>
      </c>
      <c r="K36" s="4" t="s">
        <v>107</v>
      </c>
      <c r="L36" s="4" t="s">
        <v>108</v>
      </c>
      <c r="M36" s="5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4"/>
      <c r="AA36" s="5" t="str">
        <f t="shared" si="2"/>
        <v/>
      </c>
      <c r="AB36" s="7"/>
      <c r="AC36" s="4" t="s">
        <v>35</v>
      </c>
      <c r="AD36" s="7"/>
    </row>
    <row r="37" hidden="1">
      <c r="A37" s="8" t="s">
        <v>93</v>
      </c>
      <c r="B37" s="9"/>
      <c r="C37" s="8" t="s">
        <v>31</v>
      </c>
      <c r="D37" s="10">
        <v>44626.282707754624</v>
      </c>
      <c r="E37" s="8" t="s">
        <v>99</v>
      </c>
      <c r="F37" s="8">
        <v>850.0</v>
      </c>
      <c r="G37" s="8"/>
      <c r="H37" s="8" t="s">
        <v>85</v>
      </c>
      <c r="I37" s="11"/>
      <c r="J37" s="8" t="s">
        <v>52</v>
      </c>
      <c r="K37" s="8" t="s">
        <v>109</v>
      </c>
      <c r="L37" s="8" t="s">
        <v>110</v>
      </c>
      <c r="M37" s="9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8"/>
      <c r="AA37" s="9" t="str">
        <f t="shared" si="2"/>
        <v/>
      </c>
      <c r="AB37" s="11"/>
      <c r="AC37" s="8" t="s">
        <v>35</v>
      </c>
      <c r="AD37" s="11"/>
    </row>
    <row r="38">
      <c r="A38" s="4" t="s">
        <v>93</v>
      </c>
      <c r="B38" s="5"/>
      <c r="C38" s="4" t="s">
        <v>31</v>
      </c>
      <c r="D38" s="6">
        <v>44627.78337471065</v>
      </c>
      <c r="E38" s="4" t="s">
        <v>99</v>
      </c>
      <c r="F38" s="4">
        <v>5339.0</v>
      </c>
      <c r="G38" s="4"/>
      <c r="H38" s="4" t="s">
        <v>39</v>
      </c>
      <c r="I38" s="7"/>
      <c r="J38" s="4" t="s">
        <v>40</v>
      </c>
      <c r="K38" s="7"/>
      <c r="L38" s="4" t="s">
        <v>111</v>
      </c>
      <c r="M38" s="4" t="s">
        <v>112</v>
      </c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4"/>
      <c r="AA38" s="5" t="str">
        <f t="shared" si="2"/>
        <v/>
      </c>
      <c r="AB38" s="7"/>
      <c r="AC38" s="4" t="s">
        <v>35</v>
      </c>
      <c r="AD38" s="7"/>
    </row>
    <row r="39" hidden="1">
      <c r="A39" s="8" t="s">
        <v>94</v>
      </c>
      <c r="B39" s="9"/>
      <c r="C39" s="8" t="s">
        <v>31</v>
      </c>
      <c r="D39" s="10">
        <v>44632.29770439815</v>
      </c>
      <c r="E39" s="8" t="s">
        <v>80</v>
      </c>
      <c r="F39" s="8">
        <v>2000.0</v>
      </c>
      <c r="G39" s="8"/>
      <c r="H39" s="8" t="s">
        <v>113</v>
      </c>
      <c r="I39" s="8" t="s">
        <v>114</v>
      </c>
      <c r="J39" s="8" t="s">
        <v>34</v>
      </c>
      <c r="K39" s="11"/>
      <c r="L39" s="8" t="s">
        <v>115</v>
      </c>
      <c r="M39" s="8" t="s">
        <v>116</v>
      </c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8"/>
      <c r="AA39" s="9" t="str">
        <f t="shared" si="2"/>
        <v/>
      </c>
      <c r="AB39" s="11"/>
      <c r="AC39" s="8" t="s">
        <v>35</v>
      </c>
      <c r="AD39" s="11"/>
    </row>
    <row r="40" hidden="1">
      <c r="A40" s="4" t="s">
        <v>93</v>
      </c>
      <c r="B40" s="5"/>
      <c r="C40" s="4" t="s">
        <v>31</v>
      </c>
      <c r="D40" s="6">
        <v>44632.299809386575</v>
      </c>
      <c r="E40" s="4" t="s">
        <v>80</v>
      </c>
      <c r="F40" s="4">
        <v>540.0</v>
      </c>
      <c r="G40" s="4"/>
      <c r="H40" s="4" t="s">
        <v>36</v>
      </c>
      <c r="I40" s="4" t="s">
        <v>117</v>
      </c>
      <c r="J40" s="4" t="s">
        <v>52</v>
      </c>
      <c r="K40" s="4" t="s">
        <v>118</v>
      </c>
      <c r="L40" s="4" t="s">
        <v>119</v>
      </c>
      <c r="M40" s="14" t="s">
        <v>120</v>
      </c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4"/>
      <c r="AA40" s="5" t="str">
        <f t="shared" si="2"/>
        <v/>
      </c>
      <c r="AB40" s="7"/>
      <c r="AC40" s="4" t="s">
        <v>35</v>
      </c>
      <c r="AD40" s="7"/>
    </row>
    <row r="41" hidden="1">
      <c r="A41" s="8" t="s">
        <v>94</v>
      </c>
      <c r="B41" s="9"/>
      <c r="C41" s="8" t="s">
        <v>31</v>
      </c>
      <c r="D41" s="10">
        <v>44632.30821854167</v>
      </c>
      <c r="E41" s="8" t="s">
        <v>80</v>
      </c>
      <c r="F41" s="8">
        <v>900.0</v>
      </c>
      <c r="G41" s="8"/>
      <c r="H41" s="8" t="s">
        <v>121</v>
      </c>
      <c r="I41" s="8" t="s">
        <v>122</v>
      </c>
      <c r="J41" s="8" t="s">
        <v>34</v>
      </c>
      <c r="K41" s="11"/>
      <c r="L41" s="8" t="s">
        <v>123</v>
      </c>
      <c r="M41" s="12" t="s">
        <v>124</v>
      </c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8"/>
      <c r="AA41" s="9" t="str">
        <f t="shared" si="2"/>
        <v/>
      </c>
      <c r="AB41" s="11"/>
      <c r="AC41" s="8" t="s">
        <v>35</v>
      </c>
      <c r="AD41" s="11"/>
    </row>
    <row r="42" hidden="1">
      <c r="A42" s="4" t="s">
        <v>125</v>
      </c>
      <c r="B42" s="5"/>
      <c r="C42" s="4" t="s">
        <v>31</v>
      </c>
      <c r="D42" s="6">
        <v>44632.513583796295</v>
      </c>
      <c r="E42" s="4" t="s">
        <v>99</v>
      </c>
      <c r="F42" s="4">
        <v>900.0</v>
      </c>
      <c r="G42" s="4"/>
      <c r="H42" s="4" t="s">
        <v>36</v>
      </c>
      <c r="I42" s="4" t="s">
        <v>37</v>
      </c>
      <c r="J42" s="4" t="s">
        <v>40</v>
      </c>
      <c r="K42" s="7"/>
      <c r="L42" s="4" t="s">
        <v>126</v>
      </c>
      <c r="M42" s="17" t="s">
        <v>127</v>
      </c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4"/>
      <c r="AA42" s="5" t="str">
        <f t="shared" si="2"/>
        <v/>
      </c>
      <c r="AB42" s="7"/>
      <c r="AC42" s="4" t="s">
        <v>35</v>
      </c>
      <c r="AD42" s="7"/>
    </row>
    <row r="43" hidden="1">
      <c r="A43" s="8" t="s">
        <v>94</v>
      </c>
      <c r="B43" s="9"/>
      <c r="C43" s="8" t="s">
        <v>31</v>
      </c>
      <c r="D43" s="10">
        <v>44632.51860776621</v>
      </c>
      <c r="E43" s="8" t="s">
        <v>80</v>
      </c>
      <c r="F43" s="8">
        <v>500.0</v>
      </c>
      <c r="G43" s="8"/>
      <c r="H43" s="8" t="s">
        <v>36</v>
      </c>
      <c r="I43" s="8" t="s">
        <v>37</v>
      </c>
      <c r="J43" s="8" t="s">
        <v>34</v>
      </c>
      <c r="K43" s="11"/>
      <c r="L43" s="9"/>
      <c r="M43" s="12" t="s">
        <v>128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8"/>
      <c r="AA43" s="9" t="str">
        <f t="shared" si="2"/>
        <v/>
      </c>
      <c r="AB43" s="11"/>
      <c r="AC43" s="8" t="s">
        <v>35</v>
      </c>
      <c r="AD43" s="11"/>
    </row>
    <row r="44" hidden="1">
      <c r="A44" s="4" t="s">
        <v>94</v>
      </c>
      <c r="B44" s="5"/>
      <c r="C44" s="4" t="s">
        <v>31</v>
      </c>
      <c r="D44" s="6">
        <v>44632.65820428241</v>
      </c>
      <c r="E44" s="4" t="s">
        <v>80</v>
      </c>
      <c r="F44" s="4">
        <v>25.0</v>
      </c>
      <c r="G44" s="4"/>
      <c r="H44" s="4" t="s">
        <v>36</v>
      </c>
      <c r="I44" s="4" t="s">
        <v>129</v>
      </c>
      <c r="J44" s="4" t="s">
        <v>52</v>
      </c>
      <c r="K44" s="4" t="s">
        <v>130</v>
      </c>
      <c r="L44" s="5"/>
      <c r="M44" s="5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4"/>
      <c r="AA44" s="5" t="str">
        <f t="shared" si="2"/>
        <v/>
      </c>
      <c r="AB44" s="7"/>
      <c r="AC44" s="4" t="s">
        <v>35</v>
      </c>
      <c r="AD44" s="7"/>
    </row>
    <row r="45">
      <c r="A45" s="8" t="s">
        <v>131</v>
      </c>
      <c r="B45" s="9"/>
      <c r="C45" s="8" t="s">
        <v>31</v>
      </c>
      <c r="D45" s="10">
        <v>44659.9522427662</v>
      </c>
      <c r="E45" s="8" t="s">
        <v>32</v>
      </c>
      <c r="F45" s="8">
        <v>1000.0</v>
      </c>
      <c r="G45" s="8"/>
      <c r="H45" s="8" t="s">
        <v>39</v>
      </c>
      <c r="I45" s="11"/>
      <c r="J45" s="8" t="s">
        <v>66</v>
      </c>
      <c r="K45" s="8" t="s">
        <v>132</v>
      </c>
      <c r="L45" s="9"/>
      <c r="M45" s="9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8"/>
      <c r="AA45" s="9" t="str">
        <f t="shared" si="2"/>
        <v/>
      </c>
      <c r="AB45" s="11"/>
      <c r="AC45" s="8" t="s">
        <v>35</v>
      </c>
      <c r="AD45" s="11"/>
    </row>
    <row r="46" hidden="1">
      <c r="A46" s="4" t="s">
        <v>133</v>
      </c>
      <c r="B46" s="5"/>
      <c r="C46" s="4" t="s">
        <v>31</v>
      </c>
      <c r="D46" s="6">
        <v>44659.95284222222</v>
      </c>
      <c r="E46" s="4" t="s">
        <v>32</v>
      </c>
      <c r="F46" s="4">
        <v>2300.0</v>
      </c>
      <c r="G46" s="4"/>
      <c r="H46" s="4" t="s">
        <v>79</v>
      </c>
      <c r="I46" s="7"/>
      <c r="J46" s="4" t="s">
        <v>34</v>
      </c>
      <c r="K46" s="7"/>
      <c r="L46" s="4" t="s">
        <v>134</v>
      </c>
      <c r="M46" s="5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4"/>
      <c r="AA46" s="5" t="str">
        <f t="shared" si="2"/>
        <v/>
      </c>
      <c r="AB46" s="7"/>
      <c r="AC46" s="4" t="s">
        <v>35</v>
      </c>
      <c r="AD46" s="7"/>
    </row>
    <row r="47">
      <c r="A47" s="8" t="s">
        <v>135</v>
      </c>
      <c r="B47" s="9"/>
      <c r="C47" s="8" t="s">
        <v>31</v>
      </c>
      <c r="D47" s="10">
        <v>44659.95657096065</v>
      </c>
      <c r="E47" s="8" t="s">
        <v>32</v>
      </c>
      <c r="F47" s="8">
        <v>407.0</v>
      </c>
      <c r="G47" s="8"/>
      <c r="H47" s="8" t="s">
        <v>39</v>
      </c>
      <c r="I47" s="11"/>
      <c r="J47" s="8" t="s">
        <v>40</v>
      </c>
      <c r="K47" s="11"/>
      <c r="L47" s="8" t="s">
        <v>136</v>
      </c>
      <c r="M47" s="8" t="s">
        <v>137</v>
      </c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8"/>
      <c r="AA47" s="9" t="str">
        <f t="shared" si="2"/>
        <v/>
      </c>
      <c r="AB47" s="11"/>
      <c r="AC47" s="8" t="s">
        <v>35</v>
      </c>
      <c r="AD47" s="11"/>
    </row>
    <row r="48" hidden="1">
      <c r="A48" s="4" t="s">
        <v>133</v>
      </c>
      <c r="B48" s="5"/>
      <c r="C48" s="4" t="s">
        <v>31</v>
      </c>
      <c r="D48" s="6">
        <v>44660.24690135417</v>
      </c>
      <c r="E48" s="4" t="s">
        <v>80</v>
      </c>
      <c r="F48" s="4">
        <v>4000.0</v>
      </c>
      <c r="G48" s="4"/>
      <c r="H48" s="4" t="s">
        <v>36</v>
      </c>
      <c r="I48" s="4" t="s">
        <v>46</v>
      </c>
      <c r="J48" s="4" t="s">
        <v>34</v>
      </c>
      <c r="K48" s="7"/>
      <c r="L48" s="4" t="s">
        <v>138</v>
      </c>
      <c r="M48" s="14" t="s">
        <v>139</v>
      </c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4"/>
      <c r="AA48" s="5" t="str">
        <f t="shared" si="2"/>
        <v/>
      </c>
      <c r="AB48" s="7"/>
      <c r="AC48" s="4" t="s">
        <v>35</v>
      </c>
      <c r="AD48" s="7"/>
    </row>
    <row r="49" hidden="1">
      <c r="A49" s="8" t="s">
        <v>135</v>
      </c>
      <c r="B49" s="18" t="s">
        <v>140</v>
      </c>
      <c r="C49" s="8" t="s">
        <v>31</v>
      </c>
      <c r="D49" s="10">
        <v>44661.54261936343</v>
      </c>
      <c r="E49" s="8" t="s">
        <v>32</v>
      </c>
      <c r="F49" s="8">
        <v>1000.0</v>
      </c>
      <c r="G49" s="8"/>
      <c r="H49" s="8" t="s">
        <v>85</v>
      </c>
      <c r="I49" s="11"/>
      <c r="J49" s="8" t="s">
        <v>34</v>
      </c>
      <c r="K49" s="11"/>
      <c r="L49" s="9"/>
      <c r="M49" s="9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8"/>
      <c r="AA49" s="9" t="str">
        <f t="shared" si="2"/>
        <v/>
      </c>
      <c r="AB49" s="11"/>
      <c r="AC49" s="8" t="s">
        <v>35</v>
      </c>
      <c r="AD49" s="11"/>
    </row>
    <row r="50" hidden="1">
      <c r="A50" s="4" t="s">
        <v>141</v>
      </c>
      <c r="B50" s="5"/>
      <c r="C50" s="4" t="s">
        <v>31</v>
      </c>
      <c r="D50" s="6">
        <v>44673.43517275463</v>
      </c>
      <c r="E50" s="4" t="s">
        <v>99</v>
      </c>
      <c r="F50" s="4">
        <v>3510.0</v>
      </c>
      <c r="G50" s="4"/>
      <c r="H50" s="4" t="s">
        <v>36</v>
      </c>
      <c r="I50" s="4" t="s">
        <v>46</v>
      </c>
      <c r="J50" s="4" t="s">
        <v>34</v>
      </c>
      <c r="K50" s="7"/>
      <c r="L50" s="4" t="s">
        <v>142</v>
      </c>
      <c r="M50" s="4" t="s">
        <v>143</v>
      </c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4"/>
      <c r="AA50" s="5" t="str">
        <f t="shared" si="2"/>
        <v/>
      </c>
      <c r="AB50" s="7"/>
      <c r="AC50" s="4" t="s">
        <v>35</v>
      </c>
      <c r="AD50" s="7"/>
    </row>
    <row r="51" hidden="1">
      <c r="A51" s="8" t="s">
        <v>141</v>
      </c>
      <c r="B51" s="9"/>
      <c r="C51" s="8" t="s">
        <v>31</v>
      </c>
      <c r="D51" s="10">
        <v>44673.435914201385</v>
      </c>
      <c r="E51" s="8" t="s">
        <v>99</v>
      </c>
      <c r="F51" s="8">
        <v>3000.0</v>
      </c>
      <c r="G51" s="8"/>
      <c r="H51" s="8" t="s">
        <v>79</v>
      </c>
      <c r="I51" s="11"/>
      <c r="J51" s="8" t="s">
        <v>34</v>
      </c>
      <c r="K51" s="11"/>
      <c r="L51" s="8" t="s">
        <v>144</v>
      </c>
      <c r="M51" s="9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8"/>
      <c r="AA51" s="9" t="str">
        <f t="shared" si="2"/>
        <v/>
      </c>
      <c r="AB51" s="11"/>
      <c r="AC51" s="8" t="s">
        <v>35</v>
      </c>
      <c r="AD51" s="11"/>
    </row>
    <row r="52" hidden="1">
      <c r="A52" s="4" t="s">
        <v>141</v>
      </c>
      <c r="B52" s="5"/>
      <c r="C52" s="4" t="s">
        <v>31</v>
      </c>
      <c r="D52" s="6">
        <v>44673.436978425925</v>
      </c>
      <c r="E52" s="4" t="s">
        <v>99</v>
      </c>
      <c r="F52" s="4">
        <v>3000.0</v>
      </c>
      <c r="G52" s="4"/>
      <c r="H52" s="4" t="s">
        <v>57</v>
      </c>
      <c r="I52" s="7"/>
      <c r="J52" s="4" t="s">
        <v>34</v>
      </c>
      <c r="K52" s="7"/>
      <c r="L52" s="4" t="s">
        <v>145</v>
      </c>
      <c r="M52" s="5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4"/>
      <c r="AA52" s="5" t="str">
        <f t="shared" si="2"/>
        <v/>
      </c>
      <c r="AB52" s="7"/>
      <c r="AC52" s="4" t="s">
        <v>35</v>
      </c>
      <c r="AD52" s="7"/>
    </row>
    <row r="53" hidden="1">
      <c r="A53" s="8" t="s">
        <v>141</v>
      </c>
      <c r="B53" s="9"/>
      <c r="C53" s="8" t="s">
        <v>31</v>
      </c>
      <c r="D53" s="10">
        <v>44673.436978425925</v>
      </c>
      <c r="E53" s="8" t="s">
        <v>99</v>
      </c>
      <c r="F53" s="8">
        <v>1000.0</v>
      </c>
      <c r="G53" s="8"/>
      <c r="H53" s="8" t="s">
        <v>51</v>
      </c>
      <c r="I53" s="11"/>
      <c r="J53" s="8" t="s">
        <v>34</v>
      </c>
      <c r="K53" s="11"/>
      <c r="L53" s="8" t="s">
        <v>145</v>
      </c>
      <c r="M53" s="9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8"/>
      <c r="AA53" s="9" t="str">
        <f t="shared" si="2"/>
        <v/>
      </c>
      <c r="AB53" s="11"/>
      <c r="AC53" s="8" t="s">
        <v>35</v>
      </c>
      <c r="AD53" s="11"/>
    </row>
    <row r="54" hidden="1">
      <c r="A54" s="4" t="s">
        <v>141</v>
      </c>
      <c r="B54" s="5"/>
      <c r="C54" s="4" t="s">
        <v>31</v>
      </c>
      <c r="D54" s="6">
        <v>44673.438271122686</v>
      </c>
      <c r="E54" s="4" t="s">
        <v>99</v>
      </c>
      <c r="F54" s="4">
        <v>1000.0</v>
      </c>
      <c r="G54" s="4"/>
      <c r="H54" s="4" t="s">
        <v>100</v>
      </c>
      <c r="I54" s="7"/>
      <c r="J54" s="4" t="s">
        <v>34</v>
      </c>
      <c r="K54" s="7"/>
      <c r="L54" s="4" t="s">
        <v>146</v>
      </c>
      <c r="M54" s="5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4"/>
      <c r="AA54" s="5" t="str">
        <f t="shared" si="2"/>
        <v/>
      </c>
      <c r="AB54" s="7"/>
      <c r="AC54" s="4" t="s">
        <v>35</v>
      </c>
      <c r="AD54" s="7"/>
    </row>
    <row r="55">
      <c r="A55" s="8" t="s">
        <v>147</v>
      </c>
      <c r="B55" s="9"/>
      <c r="C55" s="8" t="s">
        <v>31</v>
      </c>
      <c r="D55" s="10">
        <v>44676.4131597338</v>
      </c>
      <c r="E55" s="8" t="s">
        <v>99</v>
      </c>
      <c r="F55" s="8">
        <v>1760.0</v>
      </c>
      <c r="G55" s="8"/>
      <c r="H55" s="8" t="s">
        <v>39</v>
      </c>
      <c r="I55" s="11"/>
      <c r="J55" s="8" t="s">
        <v>34</v>
      </c>
      <c r="K55" s="11"/>
      <c r="L55" s="8" t="s">
        <v>148</v>
      </c>
      <c r="M55" s="9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8"/>
      <c r="AA55" s="9" t="str">
        <f t="shared" si="2"/>
        <v/>
      </c>
      <c r="AB55" s="11"/>
      <c r="AC55" s="8" t="s">
        <v>35</v>
      </c>
      <c r="AD55" s="11"/>
    </row>
    <row r="56" hidden="1">
      <c r="A56" s="4" t="s">
        <v>147</v>
      </c>
      <c r="B56" s="5"/>
      <c r="C56" s="4" t="s">
        <v>31</v>
      </c>
      <c r="D56" s="6">
        <v>44676.41492603009</v>
      </c>
      <c r="E56" s="4" t="s">
        <v>99</v>
      </c>
      <c r="F56" s="4">
        <v>1780.0</v>
      </c>
      <c r="G56" s="4"/>
      <c r="H56" s="4" t="s">
        <v>48</v>
      </c>
      <c r="I56" s="4" t="s">
        <v>81</v>
      </c>
      <c r="J56" s="4" t="s">
        <v>34</v>
      </c>
      <c r="K56" s="7"/>
      <c r="L56" s="4" t="s">
        <v>149</v>
      </c>
      <c r="M56" s="5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4"/>
      <c r="AA56" s="5" t="str">
        <f t="shared" si="2"/>
        <v/>
      </c>
      <c r="AB56" s="7"/>
      <c r="AC56" s="4" t="s">
        <v>35</v>
      </c>
      <c r="AD56" s="7"/>
    </row>
    <row r="57" hidden="1">
      <c r="A57" s="8" t="s">
        <v>147</v>
      </c>
      <c r="B57" s="9"/>
      <c r="C57" s="8" t="s">
        <v>31</v>
      </c>
      <c r="D57" s="10">
        <v>44676.89319717593</v>
      </c>
      <c r="E57" s="8" t="s">
        <v>99</v>
      </c>
      <c r="F57" s="8">
        <v>280.0</v>
      </c>
      <c r="G57" s="8"/>
      <c r="H57" s="8" t="s">
        <v>36</v>
      </c>
      <c r="I57" s="8" t="s">
        <v>150</v>
      </c>
      <c r="J57" s="8" t="s">
        <v>34</v>
      </c>
      <c r="K57" s="11"/>
      <c r="L57" s="8" t="s">
        <v>151</v>
      </c>
      <c r="M57" s="12" t="s">
        <v>152</v>
      </c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8"/>
      <c r="AA57" s="9" t="str">
        <f t="shared" si="2"/>
        <v/>
      </c>
      <c r="AB57" s="11"/>
      <c r="AC57" s="8" t="s">
        <v>35</v>
      </c>
      <c r="AD57" s="11"/>
    </row>
    <row r="58" hidden="1">
      <c r="A58" s="4" t="s">
        <v>147</v>
      </c>
      <c r="B58" s="5"/>
      <c r="C58" s="4" t="s">
        <v>31</v>
      </c>
      <c r="D58" s="6">
        <v>44677.40888575232</v>
      </c>
      <c r="E58" s="4" t="s">
        <v>99</v>
      </c>
      <c r="F58" s="4">
        <v>1785.0</v>
      </c>
      <c r="G58" s="4"/>
      <c r="H58" s="4" t="s">
        <v>36</v>
      </c>
      <c r="I58" s="4" t="s">
        <v>46</v>
      </c>
      <c r="J58" s="4" t="s">
        <v>52</v>
      </c>
      <c r="K58" s="4" t="s">
        <v>153</v>
      </c>
      <c r="L58" s="4" t="s">
        <v>154</v>
      </c>
      <c r="M58" s="4" t="s">
        <v>155</v>
      </c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4"/>
      <c r="AA58" s="5" t="str">
        <f t="shared" si="2"/>
        <v/>
      </c>
      <c r="AB58" s="7"/>
      <c r="AC58" s="4" t="s">
        <v>35</v>
      </c>
      <c r="AD58" s="7"/>
    </row>
    <row r="59" hidden="1">
      <c r="A59" s="8" t="s">
        <v>147</v>
      </c>
      <c r="B59" s="9"/>
      <c r="C59" s="8" t="s">
        <v>31</v>
      </c>
      <c r="D59" s="10">
        <v>44677.51827763889</v>
      </c>
      <c r="E59" s="8" t="s">
        <v>99</v>
      </c>
      <c r="F59" s="8">
        <v>1000.0</v>
      </c>
      <c r="G59" s="8"/>
      <c r="H59" s="8" t="s">
        <v>156</v>
      </c>
      <c r="I59" s="8" t="s">
        <v>157</v>
      </c>
      <c r="J59" s="8" t="s">
        <v>158</v>
      </c>
      <c r="K59" s="8" t="s">
        <v>159</v>
      </c>
      <c r="L59" s="8" t="s">
        <v>160</v>
      </c>
      <c r="M59" s="8" t="s">
        <v>161</v>
      </c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8"/>
      <c r="AA59" s="9" t="str">
        <f t="shared" si="2"/>
        <v/>
      </c>
      <c r="AB59" s="11"/>
      <c r="AC59" s="8" t="s">
        <v>35</v>
      </c>
      <c r="AD59" s="11"/>
    </row>
    <row r="60">
      <c r="A60" s="4" t="s">
        <v>162</v>
      </c>
      <c r="B60" s="5"/>
      <c r="C60" s="4" t="s">
        <v>31</v>
      </c>
      <c r="D60" s="6">
        <v>44678.27251887732</v>
      </c>
      <c r="E60" s="4" t="s">
        <v>99</v>
      </c>
      <c r="F60" s="4">
        <v>620.0</v>
      </c>
      <c r="G60" s="4"/>
      <c r="H60" s="4" t="s">
        <v>39</v>
      </c>
      <c r="I60" s="4" t="s">
        <v>163</v>
      </c>
      <c r="J60" s="4" t="s">
        <v>52</v>
      </c>
      <c r="K60" s="4" t="s">
        <v>164</v>
      </c>
      <c r="L60" s="5"/>
      <c r="M60" s="14" t="s">
        <v>165</v>
      </c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4"/>
      <c r="AA60" s="5" t="str">
        <f t="shared" si="2"/>
        <v/>
      </c>
      <c r="AB60" s="7"/>
      <c r="AC60" s="4" t="s">
        <v>35</v>
      </c>
      <c r="AD60" s="7"/>
    </row>
    <row r="61" hidden="1">
      <c r="A61" s="8" t="s">
        <v>162</v>
      </c>
      <c r="B61" s="9"/>
      <c r="C61" s="8" t="s">
        <v>31</v>
      </c>
      <c r="D61" s="10">
        <v>44678.90439459491</v>
      </c>
      <c r="E61" s="8" t="s">
        <v>99</v>
      </c>
      <c r="F61" s="8">
        <v>500.0</v>
      </c>
      <c r="G61" s="8"/>
      <c r="H61" s="8" t="s">
        <v>51</v>
      </c>
      <c r="I61" s="8" t="s">
        <v>166</v>
      </c>
      <c r="J61" s="8" t="s">
        <v>34</v>
      </c>
      <c r="K61" s="8" t="s">
        <v>167</v>
      </c>
      <c r="L61" s="8" t="s">
        <v>168</v>
      </c>
      <c r="M61" s="9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8"/>
      <c r="AA61" s="9" t="str">
        <f t="shared" si="2"/>
        <v/>
      </c>
      <c r="AB61" s="11"/>
      <c r="AC61" s="8" t="s">
        <v>35</v>
      </c>
      <c r="AD61" s="11"/>
    </row>
    <row r="62" hidden="1">
      <c r="A62" s="4" t="s">
        <v>162</v>
      </c>
      <c r="B62" s="5"/>
      <c r="C62" s="4" t="s">
        <v>31</v>
      </c>
      <c r="D62" s="6">
        <v>44678.905605196764</v>
      </c>
      <c r="E62" s="4" t="s">
        <v>99</v>
      </c>
      <c r="F62" s="4">
        <v>30.0</v>
      </c>
      <c r="G62" s="4"/>
      <c r="H62" s="4" t="s">
        <v>48</v>
      </c>
      <c r="I62" s="4" t="s">
        <v>81</v>
      </c>
      <c r="J62" s="4" t="s">
        <v>52</v>
      </c>
      <c r="K62" s="4" t="s">
        <v>169</v>
      </c>
      <c r="L62" s="4" t="s">
        <v>170</v>
      </c>
      <c r="M62" s="5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4"/>
      <c r="AA62" s="5" t="str">
        <f t="shared" si="2"/>
        <v/>
      </c>
      <c r="AB62" s="7"/>
      <c r="AC62" s="4" t="s">
        <v>35</v>
      </c>
      <c r="AD62" s="7"/>
    </row>
    <row r="63" hidden="1">
      <c r="A63" s="8" t="s">
        <v>131</v>
      </c>
      <c r="B63" s="9"/>
      <c r="C63" s="8" t="s">
        <v>31</v>
      </c>
      <c r="D63" s="10">
        <v>44678.95798248843</v>
      </c>
      <c r="E63" s="8" t="s">
        <v>99</v>
      </c>
      <c r="F63" s="8">
        <v>2760.0</v>
      </c>
      <c r="G63" s="8"/>
      <c r="H63" s="8" t="s">
        <v>36</v>
      </c>
      <c r="I63" s="8" t="s">
        <v>46</v>
      </c>
      <c r="J63" s="8" t="s">
        <v>171</v>
      </c>
      <c r="K63" s="9"/>
      <c r="L63" s="8" t="s">
        <v>172</v>
      </c>
      <c r="M63" s="8" t="s">
        <v>173</v>
      </c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8"/>
      <c r="AA63" s="9" t="str">
        <f t="shared" si="2"/>
        <v/>
      </c>
      <c r="AB63" s="11"/>
      <c r="AC63" s="8" t="s">
        <v>35</v>
      </c>
      <c r="AD63" s="11"/>
    </row>
    <row r="64" hidden="1">
      <c r="A64" s="4" t="s">
        <v>162</v>
      </c>
      <c r="B64" s="5"/>
      <c r="C64" s="4" t="s">
        <v>31</v>
      </c>
      <c r="D64" s="6">
        <v>44680.32964541667</v>
      </c>
      <c r="E64" s="4" t="s">
        <v>99</v>
      </c>
      <c r="F64" s="4">
        <v>60.0</v>
      </c>
      <c r="G64" s="4"/>
      <c r="H64" s="4" t="s">
        <v>36</v>
      </c>
      <c r="I64" s="4" t="s">
        <v>174</v>
      </c>
      <c r="J64" s="4" t="s">
        <v>52</v>
      </c>
      <c r="K64" s="4" t="s">
        <v>175</v>
      </c>
      <c r="L64" s="4" t="s">
        <v>176</v>
      </c>
      <c r="M64" s="5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4"/>
      <c r="AA64" s="5" t="str">
        <f t="shared" si="2"/>
        <v/>
      </c>
      <c r="AB64" s="7"/>
      <c r="AC64" s="4" t="s">
        <v>35</v>
      </c>
      <c r="AD64" s="7"/>
    </row>
    <row r="65" hidden="1">
      <c r="A65" s="8" t="s">
        <v>131</v>
      </c>
      <c r="B65" s="9"/>
      <c r="C65" s="8" t="s">
        <v>31</v>
      </c>
      <c r="D65" s="10">
        <v>44680.33034518518</v>
      </c>
      <c r="E65" s="8" t="s">
        <v>99</v>
      </c>
      <c r="F65" s="8">
        <v>40.0</v>
      </c>
      <c r="G65" s="8"/>
      <c r="H65" s="8" t="s">
        <v>36</v>
      </c>
      <c r="I65" s="8" t="s">
        <v>174</v>
      </c>
      <c r="J65" s="8" t="s">
        <v>66</v>
      </c>
      <c r="K65" s="8" t="s">
        <v>177</v>
      </c>
      <c r="L65" s="8" t="s">
        <v>178</v>
      </c>
      <c r="M65" s="9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8"/>
      <c r="AA65" s="9" t="str">
        <f t="shared" si="2"/>
        <v/>
      </c>
      <c r="AB65" s="11"/>
      <c r="AC65" s="8" t="s">
        <v>35</v>
      </c>
      <c r="AD65" s="11"/>
    </row>
    <row r="66" hidden="1">
      <c r="A66" s="4" t="s">
        <v>162</v>
      </c>
      <c r="B66" s="5"/>
      <c r="C66" s="4" t="s">
        <v>31</v>
      </c>
      <c r="D66" s="6">
        <v>44681.18404497685</v>
      </c>
      <c r="E66" s="4" t="s">
        <v>99</v>
      </c>
      <c r="F66" s="4">
        <v>600.0</v>
      </c>
      <c r="G66" s="4"/>
      <c r="H66" s="4" t="s">
        <v>33</v>
      </c>
      <c r="I66" s="4" t="s">
        <v>179</v>
      </c>
      <c r="J66" s="4" t="s">
        <v>52</v>
      </c>
      <c r="K66" s="4" t="s">
        <v>180</v>
      </c>
      <c r="L66" s="4" t="s">
        <v>181</v>
      </c>
      <c r="M66" s="5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4"/>
      <c r="AA66" s="5" t="str">
        <f t="shared" si="2"/>
        <v/>
      </c>
      <c r="AB66" s="7"/>
      <c r="AC66" s="4" t="s">
        <v>35</v>
      </c>
      <c r="AD66" s="7"/>
    </row>
    <row r="67" hidden="1">
      <c r="A67" s="8" t="s">
        <v>162</v>
      </c>
      <c r="B67" s="9"/>
      <c r="C67" s="8" t="s">
        <v>31</v>
      </c>
      <c r="D67" s="10">
        <v>44681.33874707176</v>
      </c>
      <c r="E67" s="8" t="s">
        <v>99</v>
      </c>
      <c r="F67" s="8">
        <v>500.0</v>
      </c>
      <c r="G67" s="8"/>
      <c r="H67" s="8" t="s">
        <v>88</v>
      </c>
      <c r="I67" s="8" t="s">
        <v>182</v>
      </c>
      <c r="J67" s="8" t="s">
        <v>52</v>
      </c>
      <c r="K67" s="9"/>
      <c r="L67" s="8" t="s">
        <v>183</v>
      </c>
      <c r="M67" s="9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8"/>
      <c r="AA67" s="9" t="str">
        <f t="shared" si="2"/>
        <v/>
      </c>
      <c r="AB67" s="11"/>
      <c r="AC67" s="8" t="s">
        <v>35</v>
      </c>
      <c r="AD67" s="11"/>
    </row>
    <row r="68">
      <c r="A68" s="4" t="s">
        <v>162</v>
      </c>
      <c r="B68" s="5"/>
      <c r="C68" s="4" t="s">
        <v>31</v>
      </c>
      <c r="D68" s="6">
        <v>44682.11730831019</v>
      </c>
      <c r="E68" s="4" t="s">
        <v>99</v>
      </c>
      <c r="F68" s="4">
        <v>360.0</v>
      </c>
      <c r="G68" s="4"/>
      <c r="H68" s="4" t="s">
        <v>39</v>
      </c>
      <c r="I68" s="4" t="s">
        <v>184</v>
      </c>
      <c r="J68" s="4" t="s">
        <v>52</v>
      </c>
      <c r="K68" s="4" t="s">
        <v>185</v>
      </c>
      <c r="L68" s="4" t="s">
        <v>186</v>
      </c>
      <c r="M68" s="5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4"/>
      <c r="AA68" s="5" t="str">
        <f t="shared" si="2"/>
        <v/>
      </c>
      <c r="AB68" s="7"/>
      <c r="AC68" s="4" t="s">
        <v>35</v>
      </c>
      <c r="AD68" s="7"/>
    </row>
    <row r="69" hidden="1">
      <c r="A69" s="8" t="s">
        <v>162</v>
      </c>
      <c r="B69" s="9"/>
      <c r="C69" s="8" t="s">
        <v>31</v>
      </c>
      <c r="D69" s="10">
        <v>44682.12451216435</v>
      </c>
      <c r="E69" s="8" t="s">
        <v>99</v>
      </c>
      <c r="F69" s="8">
        <v>1390.0</v>
      </c>
      <c r="G69" s="8"/>
      <c r="H69" s="8" t="s">
        <v>36</v>
      </c>
      <c r="I69" s="8" t="s">
        <v>187</v>
      </c>
      <c r="J69" s="8" t="s">
        <v>52</v>
      </c>
      <c r="K69" s="8" t="s">
        <v>188</v>
      </c>
      <c r="L69" s="8" t="s">
        <v>189</v>
      </c>
      <c r="M69" s="8" t="s">
        <v>190</v>
      </c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8"/>
      <c r="AA69" s="9" t="str">
        <f t="shared" si="2"/>
        <v/>
      </c>
      <c r="AB69" s="11"/>
      <c r="AC69" s="8" t="s">
        <v>35</v>
      </c>
      <c r="AD69" s="11"/>
    </row>
    <row r="70" hidden="1">
      <c r="A70" s="4" t="s">
        <v>191</v>
      </c>
      <c r="B70" s="5"/>
      <c r="C70" s="4" t="s">
        <v>31</v>
      </c>
      <c r="D70" s="6">
        <v>44685.39964604167</v>
      </c>
      <c r="E70" s="4" t="s">
        <v>99</v>
      </c>
      <c r="F70" s="4">
        <v>400.0</v>
      </c>
      <c r="G70" s="4"/>
      <c r="H70" s="4" t="s">
        <v>33</v>
      </c>
      <c r="I70" s="4" t="s">
        <v>192</v>
      </c>
      <c r="J70" s="4" t="s">
        <v>34</v>
      </c>
      <c r="K70" s="4" t="s">
        <v>193</v>
      </c>
      <c r="L70" s="4" t="s">
        <v>194</v>
      </c>
      <c r="M70" s="5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5"/>
      <c r="AA70" s="5" t="str">
        <f t="shared" si="2"/>
        <v/>
      </c>
      <c r="AB70" s="7"/>
      <c r="AC70" s="4" t="s">
        <v>35</v>
      </c>
      <c r="AD70" s="7"/>
    </row>
    <row r="71" hidden="1">
      <c r="A71" s="8" t="s">
        <v>191</v>
      </c>
      <c r="B71" s="9"/>
      <c r="C71" s="8" t="s">
        <v>31</v>
      </c>
      <c r="D71" s="10">
        <v>44686.057988229164</v>
      </c>
      <c r="E71" s="8" t="s">
        <v>99</v>
      </c>
      <c r="F71" s="8">
        <v>113.0</v>
      </c>
      <c r="G71" s="8"/>
      <c r="H71" s="8" t="s">
        <v>36</v>
      </c>
      <c r="I71" s="8" t="s">
        <v>195</v>
      </c>
      <c r="J71" s="8" t="s">
        <v>52</v>
      </c>
      <c r="K71" s="8" t="s">
        <v>196</v>
      </c>
      <c r="L71" s="8" t="s">
        <v>197</v>
      </c>
      <c r="M71" s="9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9"/>
      <c r="AA71" s="9" t="str">
        <f t="shared" si="2"/>
        <v/>
      </c>
      <c r="AB71" s="11"/>
      <c r="AC71" s="8" t="s">
        <v>35</v>
      </c>
      <c r="AD71" s="11"/>
    </row>
    <row r="72">
      <c r="A72" s="4" t="s">
        <v>131</v>
      </c>
      <c r="B72" s="5"/>
      <c r="C72" s="4" t="s">
        <v>31</v>
      </c>
      <c r="D72" s="6">
        <v>44686.060125034724</v>
      </c>
      <c r="E72" s="4" t="s">
        <v>99</v>
      </c>
      <c r="F72" s="4">
        <v>3000.0</v>
      </c>
      <c r="G72" s="4"/>
      <c r="H72" s="4" t="s">
        <v>39</v>
      </c>
      <c r="I72" s="4" t="s">
        <v>184</v>
      </c>
      <c r="J72" s="4" t="s">
        <v>171</v>
      </c>
      <c r="K72" s="4" t="s">
        <v>198</v>
      </c>
      <c r="L72" s="4" t="s">
        <v>199</v>
      </c>
      <c r="M72" s="5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5"/>
      <c r="AA72" s="5" t="str">
        <f t="shared" si="2"/>
        <v/>
      </c>
      <c r="AB72" s="7"/>
      <c r="AC72" s="4" t="s">
        <v>35</v>
      </c>
      <c r="AD72" s="7"/>
    </row>
    <row r="73" hidden="1">
      <c r="A73" s="8" t="s">
        <v>191</v>
      </c>
      <c r="B73" s="9"/>
      <c r="C73" s="8" t="s">
        <v>31</v>
      </c>
      <c r="D73" s="10">
        <v>44686.52556090278</v>
      </c>
      <c r="E73" s="8" t="s">
        <v>99</v>
      </c>
      <c r="F73" s="8">
        <v>2693.0</v>
      </c>
      <c r="G73" s="8"/>
      <c r="H73" s="8" t="s">
        <v>200</v>
      </c>
      <c r="I73" s="8" t="s">
        <v>201</v>
      </c>
      <c r="J73" s="8" t="s">
        <v>34</v>
      </c>
      <c r="K73" s="8" t="s">
        <v>202</v>
      </c>
      <c r="L73" s="8" t="s">
        <v>203</v>
      </c>
      <c r="M73" s="12" t="s">
        <v>204</v>
      </c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9"/>
      <c r="AA73" s="9" t="str">
        <f t="shared" si="2"/>
        <v/>
      </c>
      <c r="AB73" s="11"/>
      <c r="AC73" s="8" t="s">
        <v>35</v>
      </c>
      <c r="AD73" s="11"/>
    </row>
    <row r="74" hidden="1">
      <c r="A74" s="4" t="s">
        <v>191</v>
      </c>
      <c r="B74" s="5"/>
      <c r="C74" s="4" t="s">
        <v>31</v>
      </c>
      <c r="D74" s="6">
        <v>44687.458241932865</v>
      </c>
      <c r="E74" s="4" t="s">
        <v>99</v>
      </c>
      <c r="F74" s="4">
        <v>49.0</v>
      </c>
      <c r="G74" s="4"/>
      <c r="H74" s="4" t="s">
        <v>36</v>
      </c>
      <c r="I74" s="4" t="s">
        <v>205</v>
      </c>
      <c r="J74" s="4" t="s">
        <v>34</v>
      </c>
      <c r="K74" s="4" t="s">
        <v>206</v>
      </c>
      <c r="L74" s="5"/>
      <c r="M74" s="14" t="s">
        <v>207</v>
      </c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5"/>
      <c r="AA74" s="5" t="str">
        <f t="shared" si="2"/>
        <v/>
      </c>
      <c r="AB74" s="7"/>
      <c r="AC74" s="4" t="s">
        <v>35</v>
      </c>
      <c r="AD74" s="7"/>
    </row>
    <row r="75" hidden="1">
      <c r="A75" s="8" t="s">
        <v>131</v>
      </c>
      <c r="B75" s="9"/>
      <c r="C75" s="8" t="s">
        <v>208</v>
      </c>
      <c r="D75" s="10">
        <v>44687.8084219213</v>
      </c>
      <c r="E75" s="9"/>
      <c r="F75" s="9"/>
      <c r="G75" s="9"/>
      <c r="H75" s="9"/>
      <c r="I75" s="9"/>
      <c r="J75" s="9"/>
      <c r="K75" s="9"/>
      <c r="L75" s="9"/>
      <c r="M75" s="9"/>
      <c r="N75" s="11"/>
      <c r="O75" s="11"/>
      <c r="P75" s="11"/>
      <c r="Q75" s="11"/>
      <c r="R75" s="11"/>
      <c r="S75" s="11"/>
      <c r="T75" s="11"/>
      <c r="U75" s="8" t="s">
        <v>80</v>
      </c>
      <c r="V75" s="8" t="s">
        <v>99</v>
      </c>
      <c r="W75" s="8">
        <v>3240.0</v>
      </c>
      <c r="X75" s="8"/>
      <c r="Y75" s="8" t="s">
        <v>209</v>
      </c>
      <c r="Z75" s="8"/>
      <c r="AA75" s="9">
        <f t="shared" si="2"/>
        <v>3240</v>
      </c>
      <c r="AB75" s="8" t="s">
        <v>210</v>
      </c>
      <c r="AC75" s="8" t="s">
        <v>35</v>
      </c>
      <c r="AD75" s="11"/>
    </row>
    <row r="76" hidden="1">
      <c r="A76" s="4" t="s">
        <v>131</v>
      </c>
      <c r="B76" s="5"/>
      <c r="C76" s="4" t="s">
        <v>208</v>
      </c>
      <c r="D76" s="6">
        <v>44687.80908200231</v>
      </c>
      <c r="E76" s="5"/>
      <c r="F76" s="5"/>
      <c r="G76" s="5"/>
      <c r="H76" s="5"/>
      <c r="I76" s="5"/>
      <c r="J76" s="5"/>
      <c r="K76" s="5"/>
      <c r="L76" s="5"/>
      <c r="M76" s="5"/>
      <c r="N76" s="7"/>
      <c r="O76" s="7"/>
      <c r="P76" s="7"/>
      <c r="Q76" s="7"/>
      <c r="R76" s="7"/>
      <c r="S76" s="7"/>
      <c r="T76" s="7"/>
      <c r="U76" s="4" t="s">
        <v>80</v>
      </c>
      <c r="V76" s="4" t="s">
        <v>99</v>
      </c>
      <c r="W76" s="4">
        <v>1940.0</v>
      </c>
      <c r="X76" s="4"/>
      <c r="Y76" s="4" t="s">
        <v>209</v>
      </c>
      <c r="Z76" s="4"/>
      <c r="AA76" s="5">
        <f t="shared" si="2"/>
        <v>1940</v>
      </c>
      <c r="AB76" s="4" t="s">
        <v>211</v>
      </c>
      <c r="AC76" s="4" t="s">
        <v>35</v>
      </c>
      <c r="AD76" s="7"/>
    </row>
    <row r="77" hidden="1">
      <c r="A77" s="8" t="s">
        <v>131</v>
      </c>
      <c r="B77" s="9"/>
      <c r="C77" s="8" t="s">
        <v>208</v>
      </c>
      <c r="D77" s="10">
        <v>44687.81022266204</v>
      </c>
      <c r="E77" s="9"/>
      <c r="F77" s="9"/>
      <c r="G77" s="9"/>
      <c r="H77" s="9"/>
      <c r="I77" s="9"/>
      <c r="J77" s="9"/>
      <c r="K77" s="9"/>
      <c r="L77" s="9"/>
      <c r="M77" s="9"/>
      <c r="N77" s="11"/>
      <c r="O77" s="11"/>
      <c r="P77" s="11"/>
      <c r="Q77" s="11"/>
      <c r="R77" s="11"/>
      <c r="S77" s="11"/>
      <c r="T77" s="11"/>
      <c r="U77" s="8" t="s">
        <v>80</v>
      </c>
      <c r="V77" s="8" t="s">
        <v>99</v>
      </c>
      <c r="W77" s="8">
        <v>5000.0</v>
      </c>
      <c r="X77" s="8"/>
      <c r="Y77" s="8" t="s">
        <v>212</v>
      </c>
      <c r="Z77" s="8">
        <v>3.31</v>
      </c>
      <c r="AA77" s="9">
        <f t="shared" si="2"/>
        <v>16550</v>
      </c>
      <c r="AB77" s="8" t="s">
        <v>213</v>
      </c>
      <c r="AC77" s="8" t="s">
        <v>35</v>
      </c>
      <c r="AD77" s="11"/>
    </row>
    <row r="78" hidden="1">
      <c r="A78" s="4" t="s">
        <v>131</v>
      </c>
      <c r="B78" s="5"/>
      <c r="C78" s="4" t="s">
        <v>208</v>
      </c>
      <c r="D78" s="6">
        <v>44687.96990376158</v>
      </c>
      <c r="E78" s="5"/>
      <c r="F78" s="5"/>
      <c r="G78" s="5"/>
      <c r="H78" s="5"/>
      <c r="I78" s="5"/>
      <c r="J78" s="5"/>
      <c r="K78" s="5"/>
      <c r="L78" s="5"/>
      <c r="M78" s="5"/>
      <c r="N78" s="7"/>
      <c r="O78" s="7"/>
      <c r="P78" s="7"/>
      <c r="Q78" s="7"/>
      <c r="R78" s="7"/>
      <c r="S78" s="7"/>
      <c r="T78" s="7"/>
      <c r="U78" s="4" t="s">
        <v>80</v>
      </c>
      <c r="V78" s="4" t="s">
        <v>99</v>
      </c>
      <c r="W78" s="4">
        <v>3700.0</v>
      </c>
      <c r="X78" s="4"/>
      <c r="Y78" s="4" t="s">
        <v>212</v>
      </c>
      <c r="Z78" s="4">
        <v>3.25</v>
      </c>
      <c r="AA78" s="5">
        <f t="shared" si="2"/>
        <v>12025</v>
      </c>
      <c r="AB78" s="4" t="s">
        <v>214</v>
      </c>
      <c r="AC78" s="4" t="s">
        <v>35</v>
      </c>
      <c r="AD78" s="19" t="s">
        <v>215</v>
      </c>
    </row>
    <row r="79" hidden="1">
      <c r="A79" s="9"/>
      <c r="B79" s="9"/>
      <c r="C79" s="8" t="s">
        <v>31</v>
      </c>
      <c r="D79" s="10">
        <v>44689.62838599537</v>
      </c>
      <c r="E79" s="8" t="s">
        <v>99</v>
      </c>
      <c r="F79" s="8">
        <v>280.0</v>
      </c>
      <c r="G79" s="8"/>
      <c r="H79" s="8" t="s">
        <v>36</v>
      </c>
      <c r="I79" s="8" t="s">
        <v>216</v>
      </c>
      <c r="J79" s="8" t="s">
        <v>52</v>
      </c>
      <c r="K79" s="8" t="s">
        <v>217</v>
      </c>
      <c r="L79" s="8" t="s">
        <v>218</v>
      </c>
      <c r="M79" s="9"/>
      <c r="N79" s="11"/>
      <c r="O79" s="11"/>
      <c r="P79" s="11"/>
      <c r="Q79" s="11"/>
      <c r="R79" s="11"/>
      <c r="S79" s="11"/>
      <c r="T79" s="11"/>
      <c r="U79" s="9"/>
      <c r="V79" s="9"/>
      <c r="W79" s="9"/>
      <c r="X79" s="9"/>
      <c r="Y79" s="9"/>
      <c r="Z79" s="9"/>
      <c r="AA79" s="9" t="str">
        <f t="shared" si="2"/>
        <v/>
      </c>
      <c r="AB79" s="9"/>
      <c r="AC79" s="8" t="s">
        <v>35</v>
      </c>
      <c r="AD79" s="11"/>
    </row>
    <row r="80" hidden="1">
      <c r="A80" s="5"/>
      <c r="B80" s="5"/>
      <c r="C80" s="4" t="s">
        <v>31</v>
      </c>
      <c r="D80" s="6">
        <v>44692.28028702547</v>
      </c>
      <c r="E80" s="4" t="s">
        <v>99</v>
      </c>
      <c r="F80" s="4">
        <v>670.0</v>
      </c>
      <c r="G80" s="4"/>
      <c r="H80" s="4" t="s">
        <v>36</v>
      </c>
      <c r="I80" s="4" t="s">
        <v>219</v>
      </c>
      <c r="J80" s="4" t="s">
        <v>52</v>
      </c>
      <c r="K80" s="4" t="s">
        <v>176</v>
      </c>
      <c r="L80" s="4" t="s">
        <v>220</v>
      </c>
      <c r="M80" s="5"/>
      <c r="N80" s="7"/>
      <c r="O80" s="5"/>
      <c r="P80" s="7"/>
      <c r="Q80" s="5"/>
      <c r="R80" s="5"/>
      <c r="S80" s="5"/>
      <c r="T80" s="5"/>
      <c r="U80" s="5"/>
      <c r="V80" s="5"/>
      <c r="W80" s="5"/>
      <c r="X80" s="5"/>
      <c r="Y80" s="5"/>
      <c r="Z80" s="5"/>
      <c r="AA80" s="5" t="str">
        <f t="shared" si="2"/>
        <v/>
      </c>
      <c r="AB80" s="5"/>
      <c r="AC80" s="4" t="s">
        <v>35</v>
      </c>
      <c r="AD80" s="7"/>
    </row>
    <row r="81" hidden="1">
      <c r="A81" s="8" t="s">
        <v>221</v>
      </c>
      <c r="B81" s="9"/>
      <c r="C81" s="8" t="s">
        <v>31</v>
      </c>
      <c r="D81" s="10">
        <v>44692.48997755787</v>
      </c>
      <c r="E81" s="8" t="s">
        <v>99</v>
      </c>
      <c r="F81" s="8">
        <v>1000.0</v>
      </c>
      <c r="G81" s="8"/>
      <c r="H81" s="8" t="s">
        <v>79</v>
      </c>
      <c r="I81" s="8" t="s">
        <v>222</v>
      </c>
      <c r="J81" s="8" t="s">
        <v>34</v>
      </c>
      <c r="K81" s="8" t="s">
        <v>223</v>
      </c>
      <c r="L81" s="9"/>
      <c r="M81" s="9"/>
      <c r="N81" s="11"/>
      <c r="O81" s="9"/>
      <c r="P81" s="11"/>
      <c r="Q81" s="9"/>
      <c r="R81" s="9"/>
      <c r="S81" s="9"/>
      <c r="T81" s="9"/>
      <c r="U81" s="9"/>
      <c r="V81" s="9"/>
      <c r="W81" s="9"/>
      <c r="X81" s="9"/>
      <c r="Y81" s="9"/>
      <c r="Z81" s="9"/>
      <c r="AA81" s="9" t="str">
        <f t="shared" si="2"/>
        <v/>
      </c>
      <c r="AB81" s="9"/>
      <c r="AC81" s="8" t="s">
        <v>35</v>
      </c>
      <c r="AD81" s="11"/>
    </row>
    <row r="82" hidden="1">
      <c r="A82" s="4" t="s">
        <v>221</v>
      </c>
      <c r="B82" s="5"/>
      <c r="C82" s="4" t="s">
        <v>31</v>
      </c>
      <c r="D82" s="6">
        <v>44692.673152476855</v>
      </c>
      <c r="E82" s="4" t="s">
        <v>99</v>
      </c>
      <c r="F82" s="4">
        <v>1300.0</v>
      </c>
      <c r="G82" s="4"/>
      <c r="H82" s="4" t="s">
        <v>57</v>
      </c>
      <c r="I82" s="4" t="s">
        <v>224</v>
      </c>
      <c r="J82" s="4" t="s">
        <v>34</v>
      </c>
      <c r="K82" s="4" t="s">
        <v>225</v>
      </c>
      <c r="L82" s="4" t="s">
        <v>226</v>
      </c>
      <c r="M82" s="5"/>
      <c r="N82" s="7"/>
      <c r="O82" s="5"/>
      <c r="P82" s="7"/>
      <c r="Q82" s="5"/>
      <c r="R82" s="5"/>
      <c r="S82" s="5"/>
      <c r="T82" s="5"/>
      <c r="U82" s="5"/>
      <c r="V82" s="5"/>
      <c r="W82" s="5"/>
      <c r="X82" s="5"/>
      <c r="Y82" s="5"/>
      <c r="Z82" s="5"/>
      <c r="AA82" s="5" t="str">
        <f t="shared" si="2"/>
        <v/>
      </c>
      <c r="AB82" s="5"/>
      <c r="AC82" s="4" t="s">
        <v>35</v>
      </c>
      <c r="AD82" s="7"/>
    </row>
    <row r="83" hidden="1">
      <c r="A83" s="9"/>
      <c r="B83" s="9"/>
      <c r="C83" s="8" t="s">
        <v>208</v>
      </c>
      <c r="D83" s="10">
        <v>44694.10057501157</v>
      </c>
      <c r="E83" s="9"/>
      <c r="F83" s="9"/>
      <c r="G83" s="9"/>
      <c r="H83" s="9"/>
      <c r="I83" s="9"/>
      <c r="J83" s="9"/>
      <c r="K83" s="9"/>
      <c r="L83" s="9"/>
      <c r="M83" s="9"/>
      <c r="N83" s="11"/>
      <c r="O83" s="9"/>
      <c r="P83" s="11"/>
      <c r="Q83" s="9"/>
      <c r="R83" s="9"/>
      <c r="S83" s="9"/>
      <c r="T83" s="9"/>
      <c r="U83" s="8" t="s">
        <v>99</v>
      </c>
      <c r="V83" s="8" t="s">
        <v>32</v>
      </c>
      <c r="W83" s="8">
        <v>800.0</v>
      </c>
      <c r="X83" s="8"/>
      <c r="Y83" s="8" t="s">
        <v>209</v>
      </c>
      <c r="Z83" s="9"/>
      <c r="AA83" s="9">
        <f t="shared" si="2"/>
        <v>800</v>
      </c>
      <c r="AB83" s="8" t="s">
        <v>227</v>
      </c>
      <c r="AC83" s="8" t="s">
        <v>35</v>
      </c>
      <c r="AD83" s="11"/>
    </row>
    <row r="84">
      <c r="A84" s="4" t="s">
        <v>228</v>
      </c>
      <c r="B84" s="5"/>
      <c r="C84" s="4" t="s">
        <v>31</v>
      </c>
      <c r="D84" s="6">
        <v>44694.1015909375</v>
      </c>
      <c r="E84" s="4" t="s">
        <v>99</v>
      </c>
      <c r="F84" s="4">
        <v>1500.0</v>
      </c>
      <c r="G84" s="4"/>
      <c r="H84" s="4" t="s">
        <v>39</v>
      </c>
      <c r="I84" s="4" t="s">
        <v>184</v>
      </c>
      <c r="J84" s="4" t="s">
        <v>34</v>
      </c>
      <c r="K84" s="4" t="s">
        <v>229</v>
      </c>
      <c r="L84" s="4" t="s">
        <v>230</v>
      </c>
      <c r="M84" s="5"/>
      <c r="N84" s="7"/>
      <c r="O84" s="5"/>
      <c r="P84" s="7"/>
      <c r="Q84" s="5"/>
      <c r="R84" s="5"/>
      <c r="S84" s="5"/>
      <c r="T84" s="5"/>
      <c r="U84" s="5"/>
      <c r="V84" s="5"/>
      <c r="W84" s="5"/>
      <c r="X84" s="5"/>
      <c r="Y84" s="5"/>
      <c r="Z84" s="5"/>
      <c r="AA84" s="5" t="str">
        <f t="shared" si="2"/>
        <v/>
      </c>
      <c r="AB84" s="5"/>
      <c r="AC84" s="4" t="s">
        <v>35</v>
      </c>
      <c r="AD84" s="7"/>
    </row>
    <row r="85" hidden="1">
      <c r="A85" s="8" t="s">
        <v>221</v>
      </c>
      <c r="B85" s="9"/>
      <c r="C85" s="8" t="s">
        <v>31</v>
      </c>
      <c r="D85" s="10">
        <v>44694.10320321759</v>
      </c>
      <c r="E85" s="8" t="s">
        <v>99</v>
      </c>
      <c r="F85" s="8">
        <v>800.0</v>
      </c>
      <c r="G85" s="8"/>
      <c r="H85" s="8" t="s">
        <v>231</v>
      </c>
      <c r="I85" s="8" t="s">
        <v>232</v>
      </c>
      <c r="J85" s="8" t="s">
        <v>34</v>
      </c>
      <c r="K85" s="8" t="s">
        <v>233</v>
      </c>
      <c r="L85" s="8" t="s">
        <v>234</v>
      </c>
      <c r="M85" s="9"/>
      <c r="N85" s="11"/>
      <c r="O85" s="9"/>
      <c r="P85" s="11"/>
      <c r="Q85" s="9"/>
      <c r="R85" s="9"/>
      <c r="S85" s="9"/>
      <c r="T85" s="9"/>
      <c r="U85" s="9"/>
      <c r="V85" s="9"/>
      <c r="W85" s="9"/>
      <c r="X85" s="9"/>
      <c r="Y85" s="9"/>
      <c r="Z85" s="9"/>
      <c r="AA85" s="9" t="str">
        <f t="shared" si="2"/>
        <v/>
      </c>
      <c r="AB85" s="9"/>
      <c r="AC85" s="8" t="s">
        <v>35</v>
      </c>
      <c r="AD85" s="11"/>
    </row>
    <row r="86" hidden="1">
      <c r="A86" s="4" t="s">
        <v>221</v>
      </c>
      <c r="B86" s="5"/>
      <c r="C86" s="4" t="s">
        <v>31</v>
      </c>
      <c r="D86" s="6">
        <v>44694.10491667824</v>
      </c>
      <c r="E86" s="4" t="s">
        <v>99</v>
      </c>
      <c r="F86" s="4">
        <v>1900.0</v>
      </c>
      <c r="G86" s="4"/>
      <c r="H86" s="4" t="s">
        <v>121</v>
      </c>
      <c r="I86" s="4" t="s">
        <v>235</v>
      </c>
      <c r="J86" s="4" t="s">
        <v>34</v>
      </c>
      <c r="K86" s="4" t="s">
        <v>236</v>
      </c>
      <c r="L86" s="4" t="s">
        <v>237</v>
      </c>
      <c r="M86" s="5"/>
      <c r="N86" s="7"/>
      <c r="O86" s="5"/>
      <c r="P86" s="7"/>
      <c r="Q86" s="5"/>
      <c r="R86" s="5"/>
      <c r="S86" s="5"/>
      <c r="T86" s="5"/>
      <c r="U86" s="5"/>
      <c r="V86" s="5"/>
      <c r="W86" s="5"/>
      <c r="X86" s="5"/>
      <c r="Y86" s="5"/>
      <c r="Z86" s="5"/>
      <c r="AA86" s="5" t="str">
        <f t="shared" si="2"/>
        <v/>
      </c>
      <c r="AB86" s="5"/>
      <c r="AC86" s="4" t="s">
        <v>35</v>
      </c>
      <c r="AD86" s="7"/>
    </row>
    <row r="87" hidden="1">
      <c r="A87" s="8" t="s">
        <v>221</v>
      </c>
      <c r="B87" s="9"/>
      <c r="C87" s="8" t="s">
        <v>31</v>
      </c>
      <c r="D87" s="10">
        <v>44694.109288321764</v>
      </c>
      <c r="E87" s="8" t="s">
        <v>99</v>
      </c>
      <c r="F87" s="8">
        <v>288.0</v>
      </c>
      <c r="G87" s="8"/>
      <c r="H87" s="8" t="s">
        <v>238</v>
      </c>
      <c r="I87" s="8" t="s">
        <v>239</v>
      </c>
      <c r="J87" s="8" t="s">
        <v>34</v>
      </c>
      <c r="K87" s="8" t="s">
        <v>240</v>
      </c>
      <c r="L87" s="8" t="s">
        <v>241</v>
      </c>
      <c r="M87" s="12" t="s">
        <v>242</v>
      </c>
      <c r="N87" s="8"/>
      <c r="O87" s="9"/>
      <c r="P87" s="11"/>
      <c r="Q87" s="9"/>
      <c r="R87" s="9"/>
      <c r="S87" s="9"/>
      <c r="T87" s="9"/>
      <c r="U87" s="9"/>
      <c r="V87" s="9"/>
      <c r="W87" s="9"/>
      <c r="X87" s="9"/>
      <c r="Y87" s="9"/>
      <c r="Z87" s="9"/>
      <c r="AA87" s="9" t="str">
        <f t="shared" si="2"/>
        <v/>
      </c>
      <c r="AB87" s="9"/>
      <c r="AC87" s="8" t="s">
        <v>35</v>
      </c>
      <c r="AD87" s="11"/>
    </row>
    <row r="88" hidden="1">
      <c r="A88" s="5"/>
      <c r="B88" s="5"/>
      <c r="C88" s="4" t="s">
        <v>31</v>
      </c>
      <c r="D88" s="6">
        <v>44694.1112121412</v>
      </c>
      <c r="E88" s="4" t="s">
        <v>99</v>
      </c>
      <c r="F88" s="4">
        <v>481.8</v>
      </c>
      <c r="G88" s="4"/>
      <c r="H88" s="4" t="s">
        <v>36</v>
      </c>
      <c r="I88" s="4" t="s">
        <v>243</v>
      </c>
      <c r="J88" s="4" t="s">
        <v>171</v>
      </c>
      <c r="K88" s="4" t="s">
        <v>244</v>
      </c>
      <c r="L88" s="4" t="s">
        <v>245</v>
      </c>
      <c r="M88" s="14" t="s">
        <v>246</v>
      </c>
      <c r="N88" s="7"/>
      <c r="O88" s="5"/>
      <c r="P88" s="7"/>
      <c r="Q88" s="5"/>
      <c r="R88" s="5"/>
      <c r="S88" s="5"/>
      <c r="T88" s="5"/>
      <c r="U88" s="5"/>
      <c r="V88" s="5"/>
      <c r="W88" s="5"/>
      <c r="X88" s="5"/>
      <c r="Y88" s="5"/>
      <c r="Z88" s="5"/>
      <c r="AA88" s="5" t="str">
        <f t="shared" si="2"/>
        <v/>
      </c>
      <c r="AB88" s="5"/>
      <c r="AC88" s="4" t="s">
        <v>35</v>
      </c>
      <c r="AD88" s="7"/>
    </row>
    <row r="89">
      <c r="A89" s="8" t="s">
        <v>131</v>
      </c>
      <c r="B89" s="9"/>
      <c r="C89" s="8" t="s">
        <v>31</v>
      </c>
      <c r="D89" s="10">
        <v>44694.11268023148</v>
      </c>
      <c r="E89" s="8" t="s">
        <v>99</v>
      </c>
      <c r="F89" s="8">
        <v>1892.0</v>
      </c>
      <c r="G89" s="8"/>
      <c r="H89" s="8" t="s">
        <v>39</v>
      </c>
      <c r="I89" s="8" t="s">
        <v>247</v>
      </c>
      <c r="J89" s="8" t="s">
        <v>52</v>
      </c>
      <c r="K89" s="8" t="s">
        <v>248</v>
      </c>
      <c r="L89" s="8" t="s">
        <v>249</v>
      </c>
      <c r="M89" s="9"/>
      <c r="N89" s="11"/>
      <c r="O89" s="9"/>
      <c r="P89" s="11"/>
      <c r="Q89" s="9"/>
      <c r="R89" s="9"/>
      <c r="S89" s="9"/>
      <c r="T89" s="9"/>
      <c r="U89" s="9"/>
      <c r="V89" s="9"/>
      <c r="W89" s="9"/>
      <c r="X89" s="9"/>
      <c r="Y89" s="9"/>
      <c r="Z89" s="9"/>
      <c r="AA89" s="9" t="str">
        <f t="shared" si="2"/>
        <v/>
      </c>
      <c r="AB89" s="9"/>
      <c r="AC89" s="8" t="s">
        <v>35</v>
      </c>
      <c r="AD89" s="11"/>
    </row>
    <row r="90">
      <c r="A90" s="4" t="s">
        <v>131</v>
      </c>
      <c r="B90" s="5"/>
      <c r="C90" s="4" t="s">
        <v>31</v>
      </c>
      <c r="D90" s="6">
        <v>44694.11533697917</v>
      </c>
      <c r="E90" s="4" t="s">
        <v>99</v>
      </c>
      <c r="F90" s="4">
        <v>795.0</v>
      </c>
      <c r="G90" s="4"/>
      <c r="H90" s="4" t="s">
        <v>39</v>
      </c>
      <c r="I90" s="4" t="s">
        <v>184</v>
      </c>
      <c r="J90" s="4" t="s">
        <v>52</v>
      </c>
      <c r="K90" s="4" t="s">
        <v>250</v>
      </c>
      <c r="L90" s="4" t="s">
        <v>251</v>
      </c>
      <c r="M90" s="14" t="s">
        <v>252</v>
      </c>
      <c r="N90" s="7"/>
      <c r="O90" s="5"/>
      <c r="P90" s="7"/>
      <c r="Q90" s="5"/>
      <c r="R90" s="5"/>
      <c r="S90" s="5"/>
      <c r="T90" s="5"/>
      <c r="U90" s="5"/>
      <c r="V90" s="5"/>
      <c r="W90" s="5"/>
      <c r="X90" s="5"/>
      <c r="Y90" s="5"/>
      <c r="Z90" s="5"/>
      <c r="AA90" s="5" t="str">
        <f t="shared" si="2"/>
        <v/>
      </c>
      <c r="AB90" s="5"/>
      <c r="AC90" s="4" t="s">
        <v>35</v>
      </c>
      <c r="AD90" s="7"/>
    </row>
    <row r="91">
      <c r="A91" s="8" t="s">
        <v>131</v>
      </c>
      <c r="B91" s="9"/>
      <c r="C91" s="8" t="s">
        <v>31</v>
      </c>
      <c r="D91" s="10">
        <v>44694.11660145833</v>
      </c>
      <c r="E91" s="8" t="s">
        <v>99</v>
      </c>
      <c r="F91" s="8">
        <v>50.0</v>
      </c>
      <c r="G91" s="8"/>
      <c r="H91" s="8" t="s">
        <v>39</v>
      </c>
      <c r="I91" s="8" t="s">
        <v>253</v>
      </c>
      <c r="J91" s="8" t="s">
        <v>52</v>
      </c>
      <c r="K91" s="8" t="s">
        <v>254</v>
      </c>
      <c r="L91" s="8" t="s">
        <v>255</v>
      </c>
      <c r="M91" s="9"/>
      <c r="N91" s="11"/>
      <c r="O91" s="9"/>
      <c r="P91" s="11"/>
      <c r="Q91" s="9"/>
      <c r="R91" s="9"/>
      <c r="S91" s="9"/>
      <c r="T91" s="9"/>
      <c r="U91" s="9"/>
      <c r="V91" s="9"/>
      <c r="W91" s="9"/>
      <c r="X91" s="9"/>
      <c r="Y91" s="9"/>
      <c r="Z91" s="9"/>
      <c r="AA91" s="9" t="str">
        <f t="shared" si="2"/>
        <v/>
      </c>
      <c r="AB91" s="9"/>
      <c r="AC91" s="8" t="s">
        <v>35</v>
      </c>
      <c r="AD91" s="11"/>
    </row>
    <row r="92" hidden="1">
      <c r="A92" s="4" t="s">
        <v>221</v>
      </c>
      <c r="B92" s="5"/>
      <c r="C92" s="4" t="s">
        <v>31</v>
      </c>
      <c r="D92" s="6">
        <v>44694.11857303241</v>
      </c>
      <c r="E92" s="4" t="s">
        <v>99</v>
      </c>
      <c r="F92" s="4">
        <v>1200.0</v>
      </c>
      <c r="G92" s="4"/>
      <c r="H92" s="4" t="s">
        <v>36</v>
      </c>
      <c r="I92" s="4" t="s">
        <v>256</v>
      </c>
      <c r="J92" s="4" t="s">
        <v>34</v>
      </c>
      <c r="K92" s="4" t="s">
        <v>257</v>
      </c>
      <c r="L92" s="4" t="s">
        <v>258</v>
      </c>
      <c r="M92" s="14" t="s">
        <v>259</v>
      </c>
      <c r="N92" s="7"/>
      <c r="O92" s="5"/>
      <c r="P92" s="7"/>
      <c r="Q92" s="5"/>
      <c r="R92" s="5"/>
      <c r="S92" s="5"/>
      <c r="T92" s="5"/>
      <c r="U92" s="5"/>
      <c r="V92" s="5"/>
      <c r="W92" s="5"/>
      <c r="X92" s="5"/>
      <c r="Y92" s="5"/>
      <c r="Z92" s="5"/>
      <c r="AA92" s="5" t="str">
        <f t="shared" si="2"/>
        <v/>
      </c>
      <c r="AB92" s="5"/>
      <c r="AC92" s="4" t="s">
        <v>35</v>
      </c>
      <c r="AD92" s="7"/>
    </row>
    <row r="93" hidden="1">
      <c r="A93" s="8" t="s">
        <v>221</v>
      </c>
      <c r="B93" s="9"/>
      <c r="C93" s="8" t="s">
        <v>31</v>
      </c>
      <c r="D93" s="10">
        <v>44694.12007398148</v>
      </c>
      <c r="E93" s="8" t="s">
        <v>99</v>
      </c>
      <c r="F93" s="8">
        <v>520.0</v>
      </c>
      <c r="G93" s="8"/>
      <c r="H93" s="8" t="s">
        <v>100</v>
      </c>
      <c r="I93" s="8" t="s">
        <v>260</v>
      </c>
      <c r="J93" s="8" t="s">
        <v>34</v>
      </c>
      <c r="K93" s="8" t="s">
        <v>261</v>
      </c>
      <c r="L93" s="8" t="s">
        <v>262</v>
      </c>
      <c r="M93" s="9"/>
      <c r="N93" s="11"/>
      <c r="O93" s="9"/>
      <c r="P93" s="11"/>
      <c r="Q93" s="9"/>
      <c r="R93" s="9"/>
      <c r="S93" s="9"/>
      <c r="T93" s="9"/>
      <c r="U93" s="9"/>
      <c r="V93" s="9"/>
      <c r="W93" s="9"/>
      <c r="X93" s="9"/>
      <c r="Y93" s="9"/>
      <c r="Z93" s="9"/>
      <c r="AA93" s="9" t="str">
        <f t="shared" si="2"/>
        <v/>
      </c>
      <c r="AB93" s="9"/>
      <c r="AC93" s="8" t="s">
        <v>35</v>
      </c>
      <c r="AD93" s="11"/>
    </row>
    <row r="94" hidden="1">
      <c r="A94" s="4" t="s">
        <v>221</v>
      </c>
      <c r="B94" s="5"/>
      <c r="C94" s="4" t="s">
        <v>31</v>
      </c>
      <c r="D94" s="6">
        <v>44694.12291122685</v>
      </c>
      <c r="E94" s="4" t="s">
        <v>99</v>
      </c>
      <c r="F94" s="4">
        <v>4974.0</v>
      </c>
      <c r="G94" s="4"/>
      <c r="H94" s="4" t="s">
        <v>156</v>
      </c>
      <c r="I94" s="4" t="s">
        <v>263</v>
      </c>
      <c r="J94" s="4" t="s">
        <v>158</v>
      </c>
      <c r="K94" s="4" t="s">
        <v>264</v>
      </c>
      <c r="L94" s="4" t="s">
        <v>265</v>
      </c>
      <c r="M94" s="5"/>
      <c r="N94" s="7"/>
      <c r="O94" s="5"/>
      <c r="P94" s="7"/>
      <c r="Q94" s="5"/>
      <c r="R94" s="5"/>
      <c r="S94" s="5"/>
      <c r="T94" s="5"/>
      <c r="U94" s="5"/>
      <c r="V94" s="5"/>
      <c r="W94" s="5"/>
      <c r="X94" s="5"/>
      <c r="Y94" s="5"/>
      <c r="Z94" s="5"/>
      <c r="AA94" s="5" t="str">
        <f t="shared" si="2"/>
        <v/>
      </c>
      <c r="AB94" s="5"/>
      <c r="AC94" s="4" t="s">
        <v>35</v>
      </c>
      <c r="AD94" s="7"/>
    </row>
    <row r="95" hidden="1">
      <c r="A95" s="8" t="s">
        <v>221</v>
      </c>
      <c r="B95" s="9"/>
      <c r="C95" s="8" t="s">
        <v>31</v>
      </c>
      <c r="D95" s="10">
        <v>44694.12558424768</v>
      </c>
      <c r="E95" s="8" t="s">
        <v>99</v>
      </c>
      <c r="F95" s="8">
        <v>503.0</v>
      </c>
      <c r="G95" s="8"/>
      <c r="H95" s="8" t="s">
        <v>200</v>
      </c>
      <c r="I95" s="8" t="s">
        <v>266</v>
      </c>
      <c r="J95" s="8" t="s">
        <v>34</v>
      </c>
      <c r="K95" s="8" t="s">
        <v>267</v>
      </c>
      <c r="L95" s="8" t="s">
        <v>268</v>
      </c>
      <c r="M95" s="12" t="s">
        <v>269</v>
      </c>
      <c r="N95" s="11"/>
      <c r="O95" s="9"/>
      <c r="P95" s="11"/>
      <c r="Q95" s="9"/>
      <c r="R95" s="9"/>
      <c r="S95" s="9"/>
      <c r="T95" s="9"/>
      <c r="U95" s="9"/>
      <c r="V95" s="9"/>
      <c r="W95" s="9"/>
      <c r="X95" s="9"/>
      <c r="Y95" s="9"/>
      <c r="Z95" s="9"/>
      <c r="AA95" s="9" t="str">
        <f t="shared" si="2"/>
        <v/>
      </c>
      <c r="AB95" s="9"/>
      <c r="AC95" s="8" t="s">
        <v>35</v>
      </c>
      <c r="AD95" s="11"/>
    </row>
    <row r="96" hidden="1">
      <c r="A96" s="4" t="s">
        <v>221</v>
      </c>
      <c r="B96" s="5"/>
      <c r="C96" s="4" t="s">
        <v>31</v>
      </c>
      <c r="D96" s="6">
        <v>44694.12757473379</v>
      </c>
      <c r="E96" s="4" t="s">
        <v>99</v>
      </c>
      <c r="F96" s="4">
        <v>849.0</v>
      </c>
      <c r="G96" s="4"/>
      <c r="H96" s="4" t="s">
        <v>200</v>
      </c>
      <c r="I96" s="4" t="s">
        <v>266</v>
      </c>
      <c r="J96" s="4" t="s">
        <v>34</v>
      </c>
      <c r="K96" s="4" t="s">
        <v>270</v>
      </c>
      <c r="L96" s="4" t="s">
        <v>271</v>
      </c>
      <c r="M96" s="14" t="s">
        <v>272</v>
      </c>
      <c r="N96" s="7"/>
      <c r="O96" s="5"/>
      <c r="P96" s="7"/>
      <c r="Q96" s="5"/>
      <c r="R96" s="5"/>
      <c r="S96" s="5"/>
      <c r="T96" s="5"/>
      <c r="U96" s="5"/>
      <c r="V96" s="5"/>
      <c r="W96" s="5"/>
      <c r="X96" s="5"/>
      <c r="Y96" s="5"/>
      <c r="Z96" s="5"/>
      <c r="AA96" s="5" t="str">
        <f t="shared" si="2"/>
        <v/>
      </c>
      <c r="AB96" s="5"/>
      <c r="AC96" s="4" t="s">
        <v>35</v>
      </c>
      <c r="AD96" s="7"/>
    </row>
    <row r="97" hidden="1">
      <c r="A97" s="9"/>
      <c r="B97" s="9"/>
      <c r="C97" s="8" t="s">
        <v>31</v>
      </c>
      <c r="D97" s="10">
        <v>44694.12969368056</v>
      </c>
      <c r="E97" s="8" t="s">
        <v>99</v>
      </c>
      <c r="F97" s="8">
        <v>59.0</v>
      </c>
      <c r="G97" s="8"/>
      <c r="H97" s="8" t="s">
        <v>238</v>
      </c>
      <c r="I97" s="8" t="s">
        <v>266</v>
      </c>
      <c r="J97" s="8" t="s">
        <v>34</v>
      </c>
      <c r="K97" s="8" t="s">
        <v>273</v>
      </c>
      <c r="L97" s="8" t="s">
        <v>274</v>
      </c>
      <c r="M97" s="12" t="s">
        <v>275</v>
      </c>
      <c r="N97" s="11"/>
      <c r="O97" s="9"/>
      <c r="P97" s="11"/>
      <c r="Q97" s="9"/>
      <c r="R97" s="9"/>
      <c r="S97" s="9"/>
      <c r="T97" s="9"/>
      <c r="U97" s="9"/>
      <c r="V97" s="9"/>
      <c r="W97" s="9"/>
      <c r="X97" s="9"/>
      <c r="Y97" s="9"/>
      <c r="Z97" s="9"/>
      <c r="AA97" s="9" t="str">
        <f t="shared" si="2"/>
        <v/>
      </c>
      <c r="AB97" s="9"/>
      <c r="AC97" s="8" t="s">
        <v>35</v>
      </c>
      <c r="AD97" s="11"/>
    </row>
    <row r="98" hidden="1">
      <c r="A98" s="5"/>
      <c r="B98" s="5"/>
      <c r="C98" s="4" t="s">
        <v>31</v>
      </c>
      <c r="D98" s="6">
        <v>44694.82575659722</v>
      </c>
      <c r="E98" s="4" t="s">
        <v>99</v>
      </c>
      <c r="F98" s="4">
        <v>875.0</v>
      </c>
      <c r="G98" s="4"/>
      <c r="H98" s="4" t="s">
        <v>79</v>
      </c>
      <c r="I98" s="4" t="s">
        <v>276</v>
      </c>
      <c r="J98" s="4" t="s">
        <v>52</v>
      </c>
      <c r="K98" s="4" t="s">
        <v>277</v>
      </c>
      <c r="L98" s="4" t="s">
        <v>278</v>
      </c>
      <c r="M98" s="14" t="s">
        <v>279</v>
      </c>
      <c r="N98" s="7"/>
      <c r="O98" s="5"/>
      <c r="P98" s="7"/>
      <c r="Q98" s="5"/>
      <c r="R98" s="5"/>
      <c r="S98" s="5"/>
      <c r="T98" s="5"/>
      <c r="U98" s="5"/>
      <c r="V98" s="5"/>
      <c r="W98" s="5"/>
      <c r="X98" s="5"/>
      <c r="Y98" s="5"/>
      <c r="Z98" s="5"/>
      <c r="AA98" s="5" t="str">
        <f t="shared" si="2"/>
        <v/>
      </c>
      <c r="AB98" s="5"/>
      <c r="AC98" s="4" t="s">
        <v>35</v>
      </c>
      <c r="AD98" s="7"/>
    </row>
    <row r="99">
      <c r="A99" s="8" t="s">
        <v>280</v>
      </c>
      <c r="B99" s="9"/>
      <c r="C99" s="8" t="s">
        <v>31</v>
      </c>
      <c r="D99" s="10">
        <v>44695.71801315973</v>
      </c>
      <c r="E99" s="8" t="s">
        <v>32</v>
      </c>
      <c r="F99" s="8">
        <v>1000.0</v>
      </c>
      <c r="G99" s="8"/>
      <c r="H99" s="8" t="s">
        <v>39</v>
      </c>
      <c r="I99" s="9"/>
      <c r="J99" s="8" t="s">
        <v>34</v>
      </c>
      <c r="K99" s="9"/>
      <c r="L99" s="8" t="s">
        <v>281</v>
      </c>
      <c r="M99" s="9"/>
      <c r="N99" s="11"/>
      <c r="O99" s="9"/>
      <c r="P99" s="11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8" t="s">
        <v>35</v>
      </c>
      <c r="AD99" s="11"/>
    </row>
    <row r="100">
      <c r="A100" s="4" t="s">
        <v>280</v>
      </c>
      <c r="B100" s="5"/>
      <c r="C100" s="4" t="s">
        <v>31</v>
      </c>
      <c r="D100" s="6">
        <v>44695.71896957176</v>
      </c>
      <c r="E100" s="4" t="s">
        <v>32</v>
      </c>
      <c r="F100" s="4">
        <v>12000.0</v>
      </c>
      <c r="G100" s="4"/>
      <c r="H100" s="4" t="s">
        <v>39</v>
      </c>
      <c r="I100" s="5"/>
      <c r="J100" s="4" t="s">
        <v>34</v>
      </c>
      <c r="K100" s="5"/>
      <c r="L100" s="4" t="s">
        <v>282</v>
      </c>
      <c r="M100" s="5"/>
      <c r="N100" s="7"/>
      <c r="O100" s="5"/>
      <c r="P100" s="7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4" t="s">
        <v>35</v>
      </c>
      <c r="AD100" s="7"/>
    </row>
    <row r="101" hidden="1">
      <c r="A101" s="8" t="s">
        <v>280</v>
      </c>
      <c r="B101" s="9"/>
      <c r="C101" s="8" t="s">
        <v>283</v>
      </c>
      <c r="D101" s="10">
        <v>44695.722173194445</v>
      </c>
      <c r="E101" s="9"/>
      <c r="F101" s="9"/>
      <c r="G101" s="9"/>
      <c r="H101" s="9"/>
      <c r="I101" s="9"/>
      <c r="J101" s="9"/>
      <c r="K101" s="9"/>
      <c r="L101" s="9"/>
      <c r="M101" s="9"/>
      <c r="N101" s="8" t="s">
        <v>34</v>
      </c>
      <c r="O101" s="8">
        <v>36750.0</v>
      </c>
      <c r="P101" s="8" t="s">
        <v>39</v>
      </c>
      <c r="Q101" s="8" t="s">
        <v>284</v>
      </c>
      <c r="R101" s="8" t="s">
        <v>184</v>
      </c>
      <c r="S101" s="8" t="s">
        <v>285</v>
      </c>
      <c r="T101" s="9"/>
      <c r="U101" s="9"/>
      <c r="V101" s="9"/>
      <c r="W101" s="9"/>
      <c r="X101" s="9"/>
      <c r="Y101" s="9"/>
      <c r="Z101" s="9"/>
      <c r="AA101" s="9"/>
      <c r="AB101" s="9"/>
      <c r="AC101" s="8" t="s">
        <v>35</v>
      </c>
      <c r="AD101" s="11"/>
    </row>
    <row r="102" hidden="1">
      <c r="A102" s="4" t="s">
        <v>280</v>
      </c>
      <c r="B102" s="5"/>
      <c r="C102" s="4" t="s">
        <v>283</v>
      </c>
      <c r="D102" s="6">
        <v>44695.726794594906</v>
      </c>
      <c r="E102" s="5"/>
      <c r="F102" s="5"/>
      <c r="G102" s="5"/>
      <c r="H102" s="5"/>
      <c r="I102" s="5"/>
      <c r="J102" s="5"/>
      <c r="K102" s="5"/>
      <c r="L102" s="5"/>
      <c r="M102" s="5"/>
      <c r="N102" s="4" t="s">
        <v>34</v>
      </c>
      <c r="O102" s="4">
        <v>20350.0</v>
      </c>
      <c r="P102" s="4" t="s">
        <v>79</v>
      </c>
      <c r="Q102" s="5"/>
      <c r="R102" s="4" t="s">
        <v>286</v>
      </c>
      <c r="S102" s="4" t="s">
        <v>280</v>
      </c>
      <c r="T102" s="5"/>
      <c r="U102" s="5"/>
      <c r="V102" s="5"/>
      <c r="W102" s="5"/>
      <c r="X102" s="5"/>
      <c r="Y102" s="5"/>
      <c r="Z102" s="5"/>
      <c r="AA102" s="5"/>
      <c r="AB102" s="5"/>
      <c r="AC102" s="4" t="s">
        <v>35</v>
      </c>
      <c r="AD102" s="7"/>
    </row>
    <row r="103" hidden="1">
      <c r="A103" s="8" t="s">
        <v>280</v>
      </c>
      <c r="B103" s="9"/>
      <c r="C103" s="8" t="s">
        <v>283</v>
      </c>
      <c r="D103" s="10">
        <v>44695.72815787037</v>
      </c>
      <c r="E103" s="9"/>
      <c r="F103" s="9"/>
      <c r="G103" s="9"/>
      <c r="H103" s="9"/>
      <c r="I103" s="9"/>
      <c r="J103" s="9"/>
      <c r="K103" s="9"/>
      <c r="L103" s="9"/>
      <c r="M103" s="9"/>
      <c r="N103" s="8" t="s">
        <v>34</v>
      </c>
      <c r="O103" s="8">
        <v>4985.0</v>
      </c>
      <c r="P103" s="8" t="s">
        <v>85</v>
      </c>
      <c r="Q103" s="8" t="s">
        <v>287</v>
      </c>
      <c r="R103" s="8" t="s">
        <v>288</v>
      </c>
      <c r="S103" s="8" t="s">
        <v>280</v>
      </c>
      <c r="T103" s="9"/>
      <c r="U103" s="9"/>
      <c r="V103" s="9"/>
      <c r="W103" s="9"/>
      <c r="X103" s="9"/>
      <c r="Y103" s="9"/>
      <c r="Z103" s="9"/>
      <c r="AA103" s="9"/>
      <c r="AB103" s="9"/>
      <c r="AC103" s="8" t="s">
        <v>35</v>
      </c>
      <c r="AD103" s="11"/>
    </row>
    <row r="104">
      <c r="A104" s="4" t="s">
        <v>280</v>
      </c>
      <c r="B104" s="5"/>
      <c r="C104" s="4" t="s">
        <v>31</v>
      </c>
      <c r="D104" s="6">
        <v>44695.79179923611</v>
      </c>
      <c r="E104" s="4" t="s">
        <v>32</v>
      </c>
      <c r="F104" s="4">
        <v>1000.0</v>
      </c>
      <c r="G104" s="4"/>
      <c r="H104" s="4" t="s">
        <v>39</v>
      </c>
      <c r="I104" s="5"/>
      <c r="J104" s="4" t="s">
        <v>34</v>
      </c>
      <c r="K104" s="5"/>
      <c r="L104" s="4" t="s">
        <v>289</v>
      </c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4" t="s">
        <v>35</v>
      </c>
      <c r="AD104" s="7"/>
    </row>
    <row r="105">
      <c r="A105" s="8" t="s">
        <v>280</v>
      </c>
      <c r="B105" s="9"/>
      <c r="C105" s="8" t="s">
        <v>31</v>
      </c>
      <c r="D105" s="10">
        <v>44695.792277326385</v>
      </c>
      <c r="E105" s="8" t="s">
        <v>32</v>
      </c>
      <c r="F105" s="8">
        <v>1000.0</v>
      </c>
      <c r="G105" s="8"/>
      <c r="H105" s="8" t="s">
        <v>39</v>
      </c>
      <c r="I105" s="9"/>
      <c r="J105" s="8" t="s">
        <v>34</v>
      </c>
      <c r="K105" s="9"/>
      <c r="L105" s="8" t="s">
        <v>290</v>
      </c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8" t="s">
        <v>35</v>
      </c>
      <c r="AD105" s="11"/>
    </row>
    <row r="106">
      <c r="A106" s="4" t="s">
        <v>280</v>
      </c>
      <c r="B106" s="5"/>
      <c r="C106" s="4" t="s">
        <v>31</v>
      </c>
      <c r="D106" s="6">
        <v>44695.793676574074</v>
      </c>
      <c r="E106" s="4" t="s">
        <v>32</v>
      </c>
      <c r="F106" s="4">
        <v>5850.0</v>
      </c>
      <c r="G106" s="4"/>
      <c r="H106" s="4" t="s">
        <v>39</v>
      </c>
      <c r="I106" s="5"/>
      <c r="J106" s="4" t="s">
        <v>34</v>
      </c>
      <c r="K106" s="5"/>
      <c r="L106" s="4" t="s">
        <v>291</v>
      </c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4" t="s">
        <v>35</v>
      </c>
      <c r="AD106" s="7"/>
    </row>
    <row r="107" hidden="1">
      <c r="A107" s="8" t="s">
        <v>280</v>
      </c>
      <c r="B107" s="9"/>
      <c r="C107" s="8" t="s">
        <v>283</v>
      </c>
      <c r="D107" s="10">
        <v>44695.795538923616</v>
      </c>
      <c r="E107" s="9"/>
      <c r="F107" s="9"/>
      <c r="G107" s="9"/>
      <c r="H107" s="9"/>
      <c r="I107" s="9"/>
      <c r="J107" s="9"/>
      <c r="K107" s="9"/>
      <c r="L107" s="9"/>
      <c r="M107" s="9"/>
      <c r="N107" s="8" t="s">
        <v>34</v>
      </c>
      <c r="O107" s="8">
        <v>5090.0</v>
      </c>
      <c r="P107" s="8" t="s">
        <v>39</v>
      </c>
      <c r="Q107" s="8" t="s">
        <v>292</v>
      </c>
      <c r="R107" s="8" t="s">
        <v>184</v>
      </c>
      <c r="S107" s="8" t="s">
        <v>293</v>
      </c>
      <c r="T107" s="9"/>
      <c r="U107" s="9"/>
      <c r="V107" s="9"/>
      <c r="W107" s="9"/>
      <c r="X107" s="9"/>
      <c r="Y107" s="9"/>
      <c r="Z107" s="9"/>
      <c r="AA107" s="9"/>
      <c r="AB107" s="9"/>
      <c r="AC107" s="8" t="s">
        <v>35</v>
      </c>
      <c r="AD107" s="11"/>
    </row>
    <row r="108" hidden="1">
      <c r="A108" s="4" t="s">
        <v>280</v>
      </c>
      <c r="B108" s="5"/>
      <c r="C108" s="4" t="s">
        <v>283</v>
      </c>
      <c r="D108" s="6">
        <v>44695.797092141205</v>
      </c>
      <c r="E108" s="5"/>
      <c r="F108" s="5"/>
      <c r="G108" s="5"/>
      <c r="H108" s="5"/>
      <c r="I108" s="5"/>
      <c r="J108" s="5"/>
      <c r="K108" s="5"/>
      <c r="L108" s="5"/>
      <c r="M108" s="5"/>
      <c r="N108" s="4" t="s">
        <v>34</v>
      </c>
      <c r="O108" s="4">
        <v>23090.0</v>
      </c>
      <c r="P108" s="4" t="s">
        <v>39</v>
      </c>
      <c r="Q108" s="4" t="s">
        <v>294</v>
      </c>
      <c r="R108" s="4" t="s">
        <v>184</v>
      </c>
      <c r="S108" s="4" t="s">
        <v>295</v>
      </c>
      <c r="T108" s="5"/>
      <c r="U108" s="5"/>
      <c r="V108" s="5"/>
      <c r="W108" s="5"/>
      <c r="X108" s="5"/>
      <c r="Y108" s="5"/>
      <c r="Z108" s="5"/>
      <c r="AA108" s="5"/>
      <c r="AB108" s="5"/>
      <c r="AC108" s="4" t="s">
        <v>35</v>
      </c>
      <c r="AD108" s="7"/>
    </row>
    <row r="109">
      <c r="A109" s="8" t="s">
        <v>280</v>
      </c>
      <c r="B109" s="9"/>
      <c r="C109" s="8" t="s">
        <v>31</v>
      </c>
      <c r="D109" s="10">
        <v>44695.80019905092</v>
      </c>
      <c r="E109" s="8" t="s">
        <v>32</v>
      </c>
      <c r="F109" s="8">
        <v>19500.0</v>
      </c>
      <c r="G109" s="8"/>
      <c r="H109" s="8" t="s">
        <v>39</v>
      </c>
      <c r="I109" s="9"/>
      <c r="J109" s="8" t="s">
        <v>34</v>
      </c>
      <c r="K109" s="9"/>
      <c r="L109" s="8" t="s">
        <v>296</v>
      </c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8" t="s">
        <v>35</v>
      </c>
      <c r="AD109" s="11"/>
    </row>
    <row r="110">
      <c r="A110" s="4" t="s">
        <v>280</v>
      </c>
      <c r="B110" s="5"/>
      <c r="C110" s="4" t="s">
        <v>31</v>
      </c>
      <c r="D110" s="6">
        <v>44695.80565155092</v>
      </c>
      <c r="E110" s="4" t="s">
        <v>32</v>
      </c>
      <c r="F110" s="4">
        <v>5090.0</v>
      </c>
      <c r="G110" s="4"/>
      <c r="H110" s="4" t="s">
        <v>39</v>
      </c>
      <c r="I110" s="5"/>
      <c r="J110" s="4" t="s">
        <v>34</v>
      </c>
      <c r="K110" s="5"/>
      <c r="L110" s="4" t="s">
        <v>297</v>
      </c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4" t="s">
        <v>35</v>
      </c>
      <c r="AD110" s="7"/>
    </row>
    <row r="111">
      <c r="A111" s="8" t="s">
        <v>280</v>
      </c>
      <c r="B111" s="9"/>
      <c r="C111" s="8" t="s">
        <v>31</v>
      </c>
      <c r="D111" s="10">
        <v>44695.80884457176</v>
      </c>
      <c r="E111" s="8" t="s">
        <v>32</v>
      </c>
      <c r="F111" s="8">
        <v>60.0</v>
      </c>
      <c r="G111" s="8"/>
      <c r="H111" s="8" t="s">
        <v>39</v>
      </c>
      <c r="I111" s="9"/>
      <c r="J111" s="8" t="s">
        <v>34</v>
      </c>
      <c r="K111" s="9"/>
      <c r="L111" s="8" t="s">
        <v>298</v>
      </c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8" t="s">
        <v>35</v>
      </c>
      <c r="AD111" s="11"/>
    </row>
    <row r="112">
      <c r="A112" s="4" t="s">
        <v>280</v>
      </c>
      <c r="B112" s="5"/>
      <c r="C112" s="4" t="s">
        <v>31</v>
      </c>
      <c r="D112" s="6">
        <v>44695.80996611111</v>
      </c>
      <c r="E112" s="4" t="s">
        <v>80</v>
      </c>
      <c r="F112" s="4">
        <v>3980.0</v>
      </c>
      <c r="G112" s="4"/>
      <c r="H112" s="4" t="s">
        <v>39</v>
      </c>
      <c r="I112" s="5"/>
      <c r="J112" s="4" t="s">
        <v>34</v>
      </c>
      <c r="K112" s="5"/>
      <c r="L112" s="4" t="s">
        <v>299</v>
      </c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4" t="s">
        <v>35</v>
      </c>
      <c r="AD112" s="7"/>
    </row>
    <row r="113">
      <c r="A113" s="8" t="s">
        <v>280</v>
      </c>
      <c r="B113" s="9"/>
      <c r="C113" s="8" t="s">
        <v>31</v>
      </c>
      <c r="D113" s="10">
        <v>44695.812758182874</v>
      </c>
      <c r="E113" s="8" t="s">
        <v>32</v>
      </c>
      <c r="F113" s="8">
        <v>5000.0</v>
      </c>
      <c r="G113" s="8"/>
      <c r="H113" s="8" t="s">
        <v>39</v>
      </c>
      <c r="I113" s="9"/>
      <c r="J113" s="8" t="s">
        <v>34</v>
      </c>
      <c r="K113" s="9"/>
      <c r="L113" s="8" t="s">
        <v>300</v>
      </c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8" t="s">
        <v>35</v>
      </c>
      <c r="AD113" s="11"/>
    </row>
    <row r="114" hidden="1">
      <c r="A114" s="4" t="s">
        <v>280</v>
      </c>
      <c r="B114" s="5"/>
      <c r="C114" s="4" t="s">
        <v>283</v>
      </c>
      <c r="D114" s="6">
        <v>44695.831778067135</v>
      </c>
      <c r="E114" s="5"/>
      <c r="F114" s="5"/>
      <c r="G114" s="5"/>
      <c r="H114" s="5"/>
      <c r="I114" s="5"/>
      <c r="J114" s="5"/>
      <c r="K114" s="5"/>
      <c r="L114" s="5"/>
      <c r="M114" s="5"/>
      <c r="N114" s="4" t="s">
        <v>34</v>
      </c>
      <c r="O114" s="4">
        <v>3775.0</v>
      </c>
      <c r="P114" s="4" t="s">
        <v>39</v>
      </c>
      <c r="Q114" s="4" t="s">
        <v>301</v>
      </c>
      <c r="R114" s="4" t="s">
        <v>184</v>
      </c>
      <c r="S114" s="4" t="s">
        <v>302</v>
      </c>
      <c r="T114" s="5"/>
      <c r="U114" s="5"/>
      <c r="V114" s="5"/>
      <c r="W114" s="5"/>
      <c r="X114" s="5"/>
      <c r="Y114" s="5"/>
      <c r="Z114" s="5"/>
      <c r="AA114" s="5"/>
      <c r="AB114" s="5"/>
      <c r="AC114" s="4" t="s">
        <v>35</v>
      </c>
      <c r="AD114" s="7"/>
    </row>
    <row r="115">
      <c r="A115" s="8" t="s">
        <v>280</v>
      </c>
      <c r="B115" s="9"/>
      <c r="C115" s="8" t="s">
        <v>31</v>
      </c>
      <c r="D115" s="10">
        <v>44695.84167270834</v>
      </c>
      <c r="E115" s="8" t="s">
        <v>80</v>
      </c>
      <c r="F115" s="8">
        <v>1240.0</v>
      </c>
      <c r="G115" s="8"/>
      <c r="H115" s="8" t="s">
        <v>39</v>
      </c>
      <c r="I115" s="9"/>
      <c r="J115" s="8" t="s">
        <v>34</v>
      </c>
      <c r="K115" s="9"/>
      <c r="L115" s="8" t="s">
        <v>303</v>
      </c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8" t="s">
        <v>35</v>
      </c>
      <c r="AD115" s="11"/>
    </row>
    <row r="116" hidden="1">
      <c r="A116" s="4" t="s">
        <v>280</v>
      </c>
      <c r="B116" s="5"/>
      <c r="C116" s="4" t="s">
        <v>283</v>
      </c>
      <c r="D116" s="6">
        <v>44695.85787112269</v>
      </c>
      <c r="E116" s="5"/>
      <c r="F116" s="5"/>
      <c r="G116" s="5"/>
      <c r="H116" s="5"/>
      <c r="I116" s="5"/>
      <c r="J116" s="5"/>
      <c r="K116" s="5"/>
      <c r="L116" s="5"/>
      <c r="M116" s="5"/>
      <c r="N116" s="4" t="s">
        <v>34</v>
      </c>
      <c r="O116" s="4">
        <v>3345.0</v>
      </c>
      <c r="P116" s="4" t="s">
        <v>88</v>
      </c>
      <c r="Q116" s="5"/>
      <c r="R116" s="4" t="s">
        <v>304</v>
      </c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4" t="s">
        <v>35</v>
      </c>
      <c r="AD116" s="7"/>
    </row>
    <row r="117" hidden="1">
      <c r="A117" s="8" t="s">
        <v>280</v>
      </c>
      <c r="B117" s="9"/>
      <c r="C117" s="8" t="s">
        <v>283</v>
      </c>
      <c r="D117" s="10">
        <v>44695.87875628472</v>
      </c>
      <c r="E117" s="9"/>
      <c r="F117" s="9"/>
      <c r="G117" s="9"/>
      <c r="H117" s="9"/>
      <c r="I117" s="9"/>
      <c r="J117" s="9"/>
      <c r="K117" s="9"/>
      <c r="L117" s="9"/>
      <c r="M117" s="9"/>
      <c r="N117" s="8" t="s">
        <v>34</v>
      </c>
      <c r="O117" s="8">
        <v>5640.0</v>
      </c>
      <c r="P117" s="8" t="s">
        <v>305</v>
      </c>
      <c r="Q117" s="8" t="s">
        <v>306</v>
      </c>
      <c r="R117" s="8" t="s">
        <v>307</v>
      </c>
      <c r="S117" s="8" t="s">
        <v>280</v>
      </c>
      <c r="T117" s="9"/>
      <c r="U117" s="9"/>
      <c r="V117" s="9"/>
      <c r="W117" s="9"/>
      <c r="X117" s="9"/>
      <c r="Y117" s="9"/>
      <c r="Z117" s="9"/>
      <c r="AA117" s="9"/>
      <c r="AB117" s="9"/>
      <c r="AC117" s="8" t="s">
        <v>35</v>
      </c>
      <c r="AD117" s="11"/>
    </row>
    <row r="118" hidden="1">
      <c r="A118" s="4" t="s">
        <v>280</v>
      </c>
      <c r="B118" s="5"/>
      <c r="C118" s="4" t="s">
        <v>283</v>
      </c>
      <c r="D118" s="6">
        <v>44695.88253322917</v>
      </c>
      <c r="E118" s="5"/>
      <c r="F118" s="5"/>
      <c r="G118" s="5"/>
      <c r="H118" s="5"/>
      <c r="I118" s="5"/>
      <c r="J118" s="5"/>
      <c r="K118" s="5"/>
      <c r="L118" s="5"/>
      <c r="M118" s="5"/>
      <c r="N118" s="4" t="s">
        <v>34</v>
      </c>
      <c r="O118" s="4">
        <v>7320.0</v>
      </c>
      <c r="P118" s="4" t="s">
        <v>48</v>
      </c>
      <c r="Q118" s="4" t="s">
        <v>81</v>
      </c>
      <c r="R118" s="4" t="s">
        <v>81</v>
      </c>
      <c r="S118" s="4" t="s">
        <v>308</v>
      </c>
      <c r="T118" s="5"/>
      <c r="U118" s="5"/>
      <c r="V118" s="5"/>
      <c r="W118" s="5"/>
      <c r="X118" s="5"/>
      <c r="Y118" s="5"/>
      <c r="Z118" s="5"/>
      <c r="AA118" s="5"/>
      <c r="AB118" s="5"/>
      <c r="AC118" s="4" t="s">
        <v>35</v>
      </c>
      <c r="AD118" s="7"/>
    </row>
    <row r="119" hidden="1">
      <c r="A119" s="8" t="s">
        <v>280</v>
      </c>
      <c r="B119" s="9"/>
      <c r="C119" s="8" t="s">
        <v>283</v>
      </c>
      <c r="D119" s="10">
        <v>44696.89697002315</v>
      </c>
      <c r="E119" s="9"/>
      <c r="F119" s="9"/>
      <c r="G119" s="9"/>
      <c r="H119" s="9"/>
      <c r="I119" s="9"/>
      <c r="J119" s="9"/>
      <c r="K119" s="9"/>
      <c r="L119" s="9"/>
      <c r="M119" s="9"/>
      <c r="N119" s="8" t="s">
        <v>34</v>
      </c>
      <c r="O119" s="8">
        <v>1520.0</v>
      </c>
      <c r="P119" s="8" t="s">
        <v>100</v>
      </c>
      <c r="Q119" s="8" t="s">
        <v>309</v>
      </c>
      <c r="R119" s="8" t="s">
        <v>310</v>
      </c>
      <c r="S119" s="8" t="s">
        <v>311</v>
      </c>
      <c r="T119" s="9"/>
      <c r="U119" s="9"/>
      <c r="V119" s="9"/>
      <c r="W119" s="9"/>
      <c r="X119" s="9"/>
      <c r="Y119" s="9"/>
      <c r="Z119" s="9"/>
      <c r="AA119" s="9"/>
      <c r="AB119" s="9"/>
      <c r="AC119" s="8" t="s">
        <v>35</v>
      </c>
      <c r="AD119" s="11"/>
    </row>
    <row r="120" hidden="1">
      <c r="A120" s="4" t="s">
        <v>280</v>
      </c>
      <c r="B120" s="5"/>
      <c r="C120" s="4" t="s">
        <v>283</v>
      </c>
      <c r="D120" s="6">
        <v>44696.89931689815</v>
      </c>
      <c r="E120" s="5"/>
      <c r="F120" s="5"/>
      <c r="G120" s="5"/>
      <c r="H120" s="5"/>
      <c r="I120" s="5"/>
      <c r="J120" s="5"/>
      <c r="K120" s="5"/>
      <c r="L120" s="5"/>
      <c r="M120" s="5"/>
      <c r="N120" s="4" t="s">
        <v>34</v>
      </c>
      <c r="O120" s="4">
        <v>6661.0</v>
      </c>
      <c r="P120" s="4" t="s">
        <v>100</v>
      </c>
      <c r="Q120" s="4" t="s">
        <v>312</v>
      </c>
      <c r="R120" s="4" t="s">
        <v>313</v>
      </c>
      <c r="S120" s="4" t="s">
        <v>280</v>
      </c>
      <c r="T120" s="14" t="s">
        <v>314</v>
      </c>
      <c r="U120" s="5"/>
      <c r="V120" s="5"/>
      <c r="W120" s="5"/>
      <c r="X120" s="5"/>
      <c r="Y120" s="5"/>
      <c r="Z120" s="5"/>
      <c r="AA120" s="5"/>
      <c r="AB120" s="5"/>
      <c r="AC120" s="4" t="s">
        <v>35</v>
      </c>
      <c r="AD120" s="7"/>
    </row>
    <row r="121" hidden="1">
      <c r="A121" s="8" t="s">
        <v>280</v>
      </c>
      <c r="B121" s="9"/>
      <c r="C121" s="8" t="s">
        <v>283</v>
      </c>
      <c r="D121" s="10">
        <v>44696.90588980324</v>
      </c>
      <c r="E121" s="9"/>
      <c r="F121" s="9"/>
      <c r="G121" s="9"/>
      <c r="H121" s="9"/>
      <c r="I121" s="9"/>
      <c r="J121" s="9"/>
      <c r="K121" s="9"/>
      <c r="L121" s="9"/>
      <c r="M121" s="9"/>
      <c r="N121" s="8" t="s">
        <v>34</v>
      </c>
      <c r="O121" s="8">
        <v>3400.0</v>
      </c>
      <c r="P121" s="8" t="s">
        <v>33</v>
      </c>
      <c r="Q121" s="8" t="s">
        <v>315</v>
      </c>
      <c r="R121" s="8" t="s">
        <v>316</v>
      </c>
      <c r="S121" s="9"/>
      <c r="T121" s="12" t="s">
        <v>317</v>
      </c>
      <c r="U121" s="9"/>
      <c r="V121" s="9"/>
      <c r="W121" s="9"/>
      <c r="X121" s="9"/>
      <c r="Y121" s="9"/>
      <c r="Z121" s="9"/>
      <c r="AA121" s="9"/>
      <c r="AB121" s="9"/>
      <c r="AC121" s="8" t="s">
        <v>35</v>
      </c>
      <c r="AD121" s="11"/>
    </row>
    <row r="122" hidden="1">
      <c r="A122" s="4" t="s">
        <v>280</v>
      </c>
      <c r="B122" s="5"/>
      <c r="C122" s="4" t="s">
        <v>283</v>
      </c>
      <c r="D122" s="6">
        <v>44696.93403474537</v>
      </c>
      <c r="E122" s="5"/>
      <c r="F122" s="5"/>
      <c r="G122" s="5"/>
      <c r="H122" s="5"/>
      <c r="I122" s="5"/>
      <c r="J122" s="5"/>
      <c r="K122" s="5"/>
      <c r="L122" s="5"/>
      <c r="M122" s="5"/>
      <c r="N122" s="4" t="s">
        <v>34</v>
      </c>
      <c r="O122" s="4">
        <v>3960.0</v>
      </c>
      <c r="P122" s="4" t="s">
        <v>33</v>
      </c>
      <c r="Q122" s="4" t="s">
        <v>318</v>
      </c>
      <c r="R122" s="4" t="s">
        <v>319</v>
      </c>
      <c r="S122" s="4" t="s">
        <v>280</v>
      </c>
      <c r="T122" s="14" t="s">
        <v>320</v>
      </c>
      <c r="U122" s="5"/>
      <c r="V122" s="5"/>
      <c r="W122" s="5"/>
      <c r="X122" s="5"/>
      <c r="Y122" s="5"/>
      <c r="Z122" s="5"/>
      <c r="AA122" s="5"/>
      <c r="AB122" s="5"/>
      <c r="AC122" s="4" t="s">
        <v>35</v>
      </c>
      <c r="AD122" s="7"/>
    </row>
    <row r="123" hidden="1">
      <c r="A123" s="8" t="s">
        <v>280</v>
      </c>
      <c r="B123" s="9"/>
      <c r="C123" s="8" t="s">
        <v>283</v>
      </c>
      <c r="D123" s="10">
        <v>44696.93771236111</v>
      </c>
      <c r="E123" s="9"/>
      <c r="F123" s="9"/>
      <c r="G123" s="9"/>
      <c r="H123" s="9"/>
      <c r="I123" s="9"/>
      <c r="J123" s="9"/>
      <c r="K123" s="9"/>
      <c r="L123" s="9"/>
      <c r="M123" s="9"/>
      <c r="N123" s="8" t="s">
        <v>34</v>
      </c>
      <c r="O123" s="8">
        <v>4000.0</v>
      </c>
      <c r="P123" s="8" t="s">
        <v>321</v>
      </c>
      <c r="Q123" s="8" t="s">
        <v>322</v>
      </c>
      <c r="R123" s="8" t="s">
        <v>32</v>
      </c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8" t="s">
        <v>35</v>
      </c>
      <c r="AD123" s="11"/>
    </row>
    <row r="124" hidden="1">
      <c r="A124" s="4" t="s">
        <v>280</v>
      </c>
      <c r="B124" s="5"/>
      <c r="C124" s="4" t="s">
        <v>283</v>
      </c>
      <c r="D124" s="6">
        <v>44696.94335204861</v>
      </c>
      <c r="E124" s="5"/>
      <c r="F124" s="5"/>
      <c r="G124" s="5"/>
      <c r="H124" s="5"/>
      <c r="I124" s="5"/>
      <c r="J124" s="5"/>
      <c r="K124" s="5"/>
      <c r="L124" s="5"/>
      <c r="M124" s="5"/>
      <c r="N124" s="4" t="s">
        <v>34</v>
      </c>
      <c r="O124" s="4">
        <v>135.0</v>
      </c>
      <c r="P124" s="4" t="s">
        <v>48</v>
      </c>
      <c r="Q124" s="4" t="s">
        <v>323</v>
      </c>
      <c r="R124" s="4" t="s">
        <v>184</v>
      </c>
      <c r="S124" s="4" t="s">
        <v>324</v>
      </c>
      <c r="T124" s="5"/>
      <c r="U124" s="5"/>
      <c r="V124" s="5"/>
      <c r="W124" s="5"/>
      <c r="X124" s="5"/>
      <c r="Y124" s="5"/>
      <c r="Z124" s="5"/>
      <c r="AA124" s="5"/>
      <c r="AB124" s="5"/>
      <c r="AC124" s="4" t="s">
        <v>35</v>
      </c>
      <c r="AD124" s="7"/>
    </row>
    <row r="125" hidden="1">
      <c r="A125" s="8" t="s">
        <v>280</v>
      </c>
      <c r="B125" s="9"/>
      <c r="C125" s="8" t="s">
        <v>283</v>
      </c>
      <c r="D125" s="10">
        <v>44696.94408590278</v>
      </c>
      <c r="E125" s="9"/>
      <c r="F125" s="9"/>
      <c r="G125" s="9"/>
      <c r="H125" s="9"/>
      <c r="I125" s="9"/>
      <c r="J125" s="9"/>
      <c r="K125" s="9"/>
      <c r="L125" s="9"/>
      <c r="M125" s="9"/>
      <c r="N125" s="8" t="s">
        <v>34</v>
      </c>
      <c r="O125" s="8">
        <v>790.0</v>
      </c>
      <c r="P125" s="8" t="s">
        <v>100</v>
      </c>
      <c r="Q125" s="8" t="s">
        <v>325</v>
      </c>
      <c r="R125" s="8" t="s">
        <v>326</v>
      </c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8" t="s">
        <v>35</v>
      </c>
      <c r="AD125" s="11"/>
    </row>
    <row r="126" hidden="1">
      <c r="A126" s="4" t="s">
        <v>280</v>
      </c>
      <c r="B126" s="5"/>
      <c r="C126" s="4" t="s">
        <v>283</v>
      </c>
      <c r="D126" s="6">
        <v>44696.944846620376</v>
      </c>
      <c r="E126" s="5"/>
      <c r="F126" s="5"/>
      <c r="G126" s="5"/>
      <c r="H126" s="5"/>
      <c r="I126" s="5"/>
      <c r="J126" s="5"/>
      <c r="K126" s="5"/>
      <c r="L126" s="5"/>
      <c r="M126" s="5"/>
      <c r="N126" s="4" t="s">
        <v>34</v>
      </c>
      <c r="O126" s="4">
        <v>1000.0</v>
      </c>
      <c r="P126" s="4" t="s">
        <v>231</v>
      </c>
      <c r="Q126" s="4" t="s">
        <v>327</v>
      </c>
      <c r="R126" s="4" t="s">
        <v>328</v>
      </c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4" t="s">
        <v>35</v>
      </c>
      <c r="AD126" s="7"/>
    </row>
    <row r="127" hidden="1">
      <c r="A127" s="8" t="s">
        <v>280</v>
      </c>
      <c r="B127" s="9"/>
      <c r="C127" s="8" t="s">
        <v>283</v>
      </c>
      <c r="D127" s="10">
        <v>44696.94676665509</v>
      </c>
      <c r="E127" s="9"/>
      <c r="F127" s="9"/>
      <c r="G127" s="9"/>
      <c r="H127" s="9"/>
      <c r="I127" s="9"/>
      <c r="J127" s="9"/>
      <c r="K127" s="9"/>
      <c r="L127" s="9"/>
      <c r="M127" s="9"/>
      <c r="N127" s="8" t="s">
        <v>34</v>
      </c>
      <c r="O127" s="8">
        <v>4045.0</v>
      </c>
      <c r="P127" s="8" t="s">
        <v>200</v>
      </c>
      <c r="Q127" s="8" t="s">
        <v>200</v>
      </c>
      <c r="R127" s="8" t="s">
        <v>329</v>
      </c>
      <c r="S127" s="8" t="s">
        <v>330</v>
      </c>
      <c r="T127" s="9"/>
      <c r="U127" s="9"/>
      <c r="V127" s="9"/>
      <c r="W127" s="9"/>
      <c r="X127" s="9"/>
      <c r="Y127" s="9"/>
      <c r="Z127" s="9"/>
      <c r="AA127" s="9"/>
      <c r="AB127" s="9"/>
      <c r="AC127" s="8" t="s">
        <v>35</v>
      </c>
      <c r="AD127" s="11"/>
    </row>
    <row r="128" hidden="1">
      <c r="A128" s="4" t="s">
        <v>280</v>
      </c>
      <c r="B128" s="5"/>
      <c r="C128" s="4" t="s">
        <v>283</v>
      </c>
      <c r="D128" s="6">
        <v>44696.9481546412</v>
      </c>
      <c r="E128" s="5"/>
      <c r="F128" s="5"/>
      <c r="G128" s="5"/>
      <c r="H128" s="5"/>
      <c r="I128" s="5"/>
      <c r="J128" s="5"/>
      <c r="K128" s="5"/>
      <c r="L128" s="5"/>
      <c r="M128" s="5"/>
      <c r="N128" s="4" t="s">
        <v>34</v>
      </c>
      <c r="O128" s="4">
        <v>14463.0</v>
      </c>
      <c r="P128" s="4" t="s">
        <v>331</v>
      </c>
      <c r="Q128" s="4" t="s">
        <v>332</v>
      </c>
      <c r="R128" s="5"/>
      <c r="S128" s="4" t="s">
        <v>333</v>
      </c>
      <c r="T128" s="14" t="s">
        <v>334</v>
      </c>
      <c r="U128" s="5"/>
      <c r="V128" s="5"/>
      <c r="W128" s="5"/>
      <c r="X128" s="5"/>
      <c r="Y128" s="5"/>
      <c r="Z128" s="5"/>
      <c r="AA128" s="5"/>
      <c r="AB128" s="5"/>
      <c r="AC128" s="4" t="s">
        <v>35</v>
      </c>
      <c r="AD128" s="7"/>
    </row>
    <row r="129" hidden="1">
      <c r="A129" s="8" t="s">
        <v>280</v>
      </c>
      <c r="B129" s="9"/>
      <c r="C129" s="8" t="s">
        <v>283</v>
      </c>
      <c r="D129" s="10">
        <v>44696.94971417824</v>
      </c>
      <c r="E129" s="9"/>
      <c r="F129" s="9"/>
      <c r="G129" s="9"/>
      <c r="H129" s="9"/>
      <c r="I129" s="9"/>
      <c r="J129" s="9"/>
      <c r="K129" s="9"/>
      <c r="L129" s="9"/>
      <c r="M129" s="9"/>
      <c r="N129" s="8" t="s">
        <v>34</v>
      </c>
      <c r="O129" s="8">
        <v>9300.0</v>
      </c>
      <c r="P129" s="8" t="s">
        <v>57</v>
      </c>
      <c r="Q129" s="9"/>
      <c r="R129" s="8" t="s">
        <v>335</v>
      </c>
      <c r="S129" s="8" t="s">
        <v>336</v>
      </c>
      <c r="T129" s="12" t="s">
        <v>337</v>
      </c>
      <c r="U129" s="9"/>
      <c r="V129" s="9"/>
      <c r="W129" s="9"/>
      <c r="X129" s="9"/>
      <c r="Y129" s="9"/>
      <c r="Z129" s="9"/>
      <c r="AA129" s="9"/>
      <c r="AB129" s="9"/>
      <c r="AC129" s="8" t="s">
        <v>35</v>
      </c>
      <c r="AD129" s="11"/>
    </row>
    <row r="130" hidden="1">
      <c r="A130" s="4" t="s">
        <v>280</v>
      </c>
      <c r="B130" s="5"/>
      <c r="C130" s="4" t="s">
        <v>283</v>
      </c>
      <c r="D130" s="6">
        <v>44696.950907060185</v>
      </c>
      <c r="E130" s="5"/>
      <c r="F130" s="5"/>
      <c r="G130" s="5"/>
      <c r="H130" s="5"/>
      <c r="I130" s="5"/>
      <c r="J130" s="5"/>
      <c r="K130" s="5"/>
      <c r="L130" s="5"/>
      <c r="M130" s="5"/>
      <c r="N130" s="4" t="s">
        <v>34</v>
      </c>
      <c r="O130" s="4">
        <f>4400-4400</f>
        <v>0</v>
      </c>
      <c r="P130" s="4" t="s">
        <v>51</v>
      </c>
      <c r="Q130" s="4"/>
      <c r="R130" s="4" t="s">
        <v>338</v>
      </c>
      <c r="S130" s="5"/>
      <c r="T130" s="14" t="s">
        <v>339</v>
      </c>
      <c r="U130" s="5"/>
      <c r="V130" s="5"/>
      <c r="W130" s="5"/>
      <c r="X130" s="5"/>
      <c r="Y130" s="5"/>
      <c r="Z130" s="5"/>
      <c r="AA130" s="5"/>
      <c r="AB130" s="5"/>
      <c r="AC130" s="4" t="s">
        <v>35</v>
      </c>
      <c r="AD130" s="7"/>
    </row>
    <row r="131" hidden="1">
      <c r="A131" s="8" t="s">
        <v>280</v>
      </c>
      <c r="B131" s="9"/>
      <c r="C131" s="8" t="s">
        <v>283</v>
      </c>
      <c r="D131" s="10">
        <v>44696.9565219213</v>
      </c>
      <c r="E131" s="9"/>
      <c r="F131" s="9"/>
      <c r="G131" s="9"/>
      <c r="H131" s="9"/>
      <c r="I131" s="9"/>
      <c r="J131" s="9"/>
      <c r="K131" s="9"/>
      <c r="L131" s="9"/>
      <c r="M131" s="9"/>
      <c r="N131" s="8" t="s">
        <v>34</v>
      </c>
      <c r="O131" s="8">
        <v>2800.0</v>
      </c>
      <c r="P131" s="8" t="s">
        <v>121</v>
      </c>
      <c r="Q131" s="9"/>
      <c r="R131" s="8" t="s">
        <v>340</v>
      </c>
      <c r="S131" s="8" t="s">
        <v>341</v>
      </c>
      <c r="T131" s="9"/>
      <c r="U131" s="9"/>
      <c r="V131" s="9"/>
      <c r="W131" s="9"/>
      <c r="X131" s="9"/>
      <c r="Y131" s="9"/>
      <c r="Z131" s="9"/>
      <c r="AA131" s="9"/>
      <c r="AB131" s="9"/>
      <c r="AC131" s="8" t="s">
        <v>35</v>
      </c>
      <c r="AD131" s="11"/>
    </row>
    <row r="132" hidden="1">
      <c r="A132" s="4" t="s">
        <v>280</v>
      </c>
      <c r="B132" s="5"/>
      <c r="C132" s="4" t="s">
        <v>283</v>
      </c>
      <c r="D132" s="6">
        <v>44696.95888186342</v>
      </c>
      <c r="E132" s="5"/>
      <c r="F132" s="5"/>
      <c r="G132" s="5"/>
      <c r="H132" s="5"/>
      <c r="I132" s="5"/>
      <c r="J132" s="5"/>
      <c r="K132" s="5"/>
      <c r="L132" s="5"/>
      <c r="M132" s="5"/>
      <c r="N132" s="4" t="s">
        <v>34</v>
      </c>
      <c r="O132" s="4">
        <v>10280.0</v>
      </c>
      <c r="P132" s="4" t="s">
        <v>113</v>
      </c>
      <c r="Q132" s="4" t="s">
        <v>342</v>
      </c>
      <c r="R132" s="5"/>
      <c r="S132" s="4" t="s">
        <v>341</v>
      </c>
      <c r="T132" s="14" t="s">
        <v>343</v>
      </c>
      <c r="U132" s="5"/>
      <c r="V132" s="5"/>
      <c r="W132" s="5"/>
      <c r="X132" s="5"/>
      <c r="Y132" s="5"/>
      <c r="Z132" s="5"/>
      <c r="AA132" s="5"/>
      <c r="AB132" s="5"/>
      <c r="AC132" s="4" t="s">
        <v>35</v>
      </c>
      <c r="AD132" s="7"/>
    </row>
    <row r="133" hidden="1">
      <c r="A133" s="8" t="s">
        <v>280</v>
      </c>
      <c r="B133" s="9"/>
      <c r="C133" s="8" t="s">
        <v>283</v>
      </c>
      <c r="D133" s="10">
        <v>44696.96263462963</v>
      </c>
      <c r="E133" s="9"/>
      <c r="F133" s="9"/>
      <c r="G133" s="9"/>
      <c r="H133" s="9"/>
      <c r="I133" s="9"/>
      <c r="J133" s="9"/>
      <c r="K133" s="9"/>
      <c r="L133" s="9"/>
      <c r="M133" s="9"/>
      <c r="N133" s="8" t="s">
        <v>158</v>
      </c>
      <c r="O133" s="8">
        <v>17870.0</v>
      </c>
      <c r="P133" s="8" t="s">
        <v>156</v>
      </c>
      <c r="Q133" s="8" t="s">
        <v>344</v>
      </c>
      <c r="R133" s="8" t="s">
        <v>340</v>
      </c>
      <c r="S133" s="9"/>
      <c r="T133" s="12" t="s">
        <v>345</v>
      </c>
      <c r="U133" s="9"/>
      <c r="V133" s="9"/>
      <c r="W133" s="9"/>
      <c r="X133" s="9"/>
      <c r="Y133" s="9"/>
      <c r="Z133" s="9"/>
      <c r="AA133" s="9"/>
      <c r="AB133" s="9"/>
      <c r="AC133" s="8" t="s">
        <v>35</v>
      </c>
      <c r="AD133" s="11"/>
    </row>
    <row r="134" hidden="1">
      <c r="A134" s="4" t="s">
        <v>280</v>
      </c>
      <c r="B134" s="5"/>
      <c r="C134" s="4" t="s">
        <v>283</v>
      </c>
      <c r="D134" s="6">
        <v>44696.96504539352</v>
      </c>
      <c r="E134" s="5"/>
      <c r="F134" s="5"/>
      <c r="G134" s="5"/>
      <c r="H134" s="5"/>
      <c r="I134" s="5"/>
      <c r="J134" s="5"/>
      <c r="K134" s="5"/>
      <c r="L134" s="5"/>
      <c r="M134" s="5"/>
      <c r="N134" s="4" t="s">
        <v>34</v>
      </c>
      <c r="O134" s="4">
        <v>75040.0</v>
      </c>
      <c r="P134" s="4" t="s">
        <v>36</v>
      </c>
      <c r="Q134" s="4" t="s">
        <v>36</v>
      </c>
      <c r="R134" s="4" t="s">
        <v>346</v>
      </c>
      <c r="S134" s="4" t="s">
        <v>347</v>
      </c>
      <c r="T134" s="5"/>
      <c r="U134" s="5"/>
      <c r="V134" s="5"/>
      <c r="W134" s="5"/>
      <c r="X134" s="5"/>
      <c r="Y134" s="5"/>
      <c r="Z134" s="5"/>
      <c r="AA134" s="5"/>
      <c r="AB134" s="5"/>
      <c r="AC134" s="4" t="s">
        <v>35</v>
      </c>
      <c r="AD134" s="7"/>
    </row>
    <row r="135" hidden="1">
      <c r="A135" s="8" t="s">
        <v>280</v>
      </c>
      <c r="B135" s="9"/>
      <c r="C135" s="8" t="s">
        <v>283</v>
      </c>
      <c r="D135" s="10">
        <v>44696.96603603009</v>
      </c>
      <c r="E135" s="9"/>
      <c r="F135" s="9"/>
      <c r="G135" s="9"/>
      <c r="H135" s="9"/>
      <c r="I135" s="9"/>
      <c r="J135" s="9"/>
      <c r="K135" s="9"/>
      <c r="L135" s="9"/>
      <c r="M135" s="9"/>
      <c r="N135" s="8" t="s">
        <v>34</v>
      </c>
      <c r="O135" s="8">
        <v>16225.0</v>
      </c>
      <c r="P135" s="8" t="s">
        <v>348</v>
      </c>
      <c r="Q135" s="9"/>
      <c r="R135" s="9"/>
      <c r="S135" s="8" t="s">
        <v>349</v>
      </c>
      <c r="T135" s="9"/>
      <c r="U135" s="9"/>
      <c r="V135" s="9"/>
      <c r="W135" s="9"/>
      <c r="X135" s="9"/>
      <c r="Y135" s="9"/>
      <c r="Z135" s="9"/>
      <c r="AA135" s="9"/>
      <c r="AB135" s="9"/>
      <c r="AC135" s="8" t="s">
        <v>35</v>
      </c>
      <c r="AD135" s="11"/>
    </row>
    <row r="136" hidden="1">
      <c r="A136" s="4" t="s">
        <v>280</v>
      </c>
      <c r="B136" s="5"/>
      <c r="C136" s="4" t="s">
        <v>31</v>
      </c>
      <c r="D136" s="6">
        <v>44696.96945721065</v>
      </c>
      <c r="E136" s="4" t="s">
        <v>80</v>
      </c>
      <c r="F136" s="4">
        <v>3225.0</v>
      </c>
      <c r="G136" s="4"/>
      <c r="H136" s="4" t="s">
        <v>321</v>
      </c>
      <c r="I136" s="4" t="s">
        <v>322</v>
      </c>
      <c r="J136" s="4" t="s">
        <v>34</v>
      </c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4" t="s">
        <v>35</v>
      </c>
      <c r="AD136" s="7"/>
    </row>
    <row r="137" hidden="1">
      <c r="A137" s="8" t="s">
        <v>280</v>
      </c>
      <c r="B137" s="9"/>
      <c r="C137" s="8" t="s">
        <v>31</v>
      </c>
      <c r="D137" s="10">
        <v>44696.97065902778</v>
      </c>
      <c r="E137" s="8" t="s">
        <v>80</v>
      </c>
      <c r="F137" s="8">
        <v>3370.0</v>
      </c>
      <c r="G137" s="8"/>
      <c r="H137" s="8" t="s">
        <v>348</v>
      </c>
      <c r="I137" s="8" t="s">
        <v>350</v>
      </c>
      <c r="J137" s="8" t="s">
        <v>34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8" t="s">
        <v>35</v>
      </c>
      <c r="AD137" s="11"/>
    </row>
    <row r="138" hidden="1">
      <c r="A138" s="4" t="s">
        <v>280</v>
      </c>
      <c r="B138" s="5"/>
      <c r="C138" s="4" t="s">
        <v>31</v>
      </c>
      <c r="D138" s="6">
        <v>44696.97178224537</v>
      </c>
      <c r="E138" s="4" t="s">
        <v>32</v>
      </c>
      <c r="F138" s="4">
        <v>12855.0</v>
      </c>
      <c r="G138" s="4"/>
      <c r="H138" s="4" t="s">
        <v>348</v>
      </c>
      <c r="I138" s="5"/>
      <c r="J138" s="4" t="s">
        <v>34</v>
      </c>
      <c r="K138" s="5"/>
      <c r="L138" s="5"/>
      <c r="M138" s="14" t="s">
        <v>351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4" t="s">
        <v>35</v>
      </c>
      <c r="AD138" s="7"/>
    </row>
    <row r="139" hidden="1">
      <c r="A139" s="8" t="s">
        <v>280</v>
      </c>
      <c r="B139" s="9"/>
      <c r="C139" s="8" t="s">
        <v>31</v>
      </c>
      <c r="D139" s="10">
        <v>44696.97400537037</v>
      </c>
      <c r="E139" s="8" t="s">
        <v>80</v>
      </c>
      <c r="F139" s="8">
        <v>6590.0</v>
      </c>
      <c r="G139" s="8"/>
      <c r="H139" s="8" t="s">
        <v>331</v>
      </c>
      <c r="I139" s="9"/>
      <c r="J139" s="8" t="s">
        <v>34</v>
      </c>
      <c r="K139" s="9"/>
      <c r="L139" s="9"/>
      <c r="M139" s="12" t="s">
        <v>352</v>
      </c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8" t="s">
        <v>35</v>
      </c>
      <c r="AD139" s="11"/>
    </row>
    <row r="140" hidden="1">
      <c r="A140" s="4" t="s">
        <v>280</v>
      </c>
      <c r="B140" s="5"/>
      <c r="C140" s="4" t="s">
        <v>31</v>
      </c>
      <c r="D140" s="6">
        <v>44696.99339135417</v>
      </c>
      <c r="E140" s="4" t="s">
        <v>32</v>
      </c>
      <c r="F140" s="4">
        <v>5700.0</v>
      </c>
      <c r="G140" s="4"/>
      <c r="H140" s="4" t="s">
        <v>331</v>
      </c>
      <c r="I140" s="4" t="s">
        <v>353</v>
      </c>
      <c r="J140" s="4" t="s">
        <v>34</v>
      </c>
      <c r="K140" s="5"/>
      <c r="L140" s="5"/>
      <c r="M140" s="14" t="s">
        <v>354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4" t="s">
        <v>35</v>
      </c>
      <c r="AD140" s="7"/>
    </row>
    <row r="141" hidden="1">
      <c r="A141" s="8" t="s">
        <v>280</v>
      </c>
      <c r="B141" s="9"/>
      <c r="C141" s="8" t="s">
        <v>31</v>
      </c>
      <c r="D141" s="10">
        <v>44696.99475563657</v>
      </c>
      <c r="E141" s="8" t="s">
        <v>32</v>
      </c>
      <c r="F141" s="8">
        <v>2173.0</v>
      </c>
      <c r="G141" s="8"/>
      <c r="H141" s="8" t="s">
        <v>331</v>
      </c>
      <c r="I141" s="8" t="s">
        <v>355</v>
      </c>
      <c r="J141" s="8" t="s">
        <v>34</v>
      </c>
      <c r="K141" s="9"/>
      <c r="L141" s="8" t="s">
        <v>356</v>
      </c>
      <c r="M141" s="12" t="s">
        <v>357</v>
      </c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8" t="s">
        <v>35</v>
      </c>
      <c r="AD141" s="11"/>
    </row>
    <row r="142" hidden="1">
      <c r="A142" s="4" t="s">
        <v>280</v>
      </c>
      <c r="B142" s="5"/>
      <c r="C142" s="4" t="s">
        <v>31</v>
      </c>
      <c r="D142" s="6">
        <v>44696.998027650465</v>
      </c>
      <c r="E142" s="4" t="s">
        <v>32</v>
      </c>
      <c r="F142" s="4">
        <v>3600.0</v>
      </c>
      <c r="G142" s="4"/>
      <c r="H142" s="4" t="s">
        <v>305</v>
      </c>
      <c r="I142" s="4" t="s">
        <v>358</v>
      </c>
      <c r="J142" s="4" t="s">
        <v>34</v>
      </c>
      <c r="K142" s="5"/>
      <c r="L142" s="4" t="s">
        <v>359</v>
      </c>
      <c r="M142" s="14" t="s">
        <v>360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4" t="s">
        <v>35</v>
      </c>
      <c r="AD142" s="7"/>
    </row>
    <row r="143" hidden="1">
      <c r="A143" s="8" t="s">
        <v>280</v>
      </c>
      <c r="B143" s="9"/>
      <c r="C143" s="8" t="s">
        <v>31</v>
      </c>
      <c r="D143" s="10">
        <v>44696.99899543982</v>
      </c>
      <c r="E143" s="8" t="s">
        <v>80</v>
      </c>
      <c r="F143" s="8">
        <v>2040.0</v>
      </c>
      <c r="G143" s="8"/>
      <c r="H143" s="8" t="s">
        <v>305</v>
      </c>
      <c r="I143" s="9"/>
      <c r="J143" s="8" t="s">
        <v>34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8" t="s">
        <v>35</v>
      </c>
      <c r="AD143" s="11"/>
    </row>
    <row r="144" hidden="1">
      <c r="A144" s="4" t="s">
        <v>280</v>
      </c>
      <c r="B144" s="5"/>
      <c r="C144" s="4" t="s">
        <v>31</v>
      </c>
      <c r="D144" s="6">
        <v>44697.00124960648</v>
      </c>
      <c r="E144" s="4" t="s">
        <v>80</v>
      </c>
      <c r="F144" s="4">
        <v>1000.0</v>
      </c>
      <c r="G144" s="4"/>
      <c r="H144" s="4" t="s">
        <v>79</v>
      </c>
      <c r="I144" s="5"/>
      <c r="J144" s="4" t="s">
        <v>34</v>
      </c>
      <c r="K144" s="5"/>
      <c r="L144" s="4" t="s">
        <v>361</v>
      </c>
      <c r="M144" s="14" t="s">
        <v>362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4" t="s">
        <v>35</v>
      </c>
      <c r="AD144" s="7"/>
    </row>
    <row r="145" hidden="1">
      <c r="A145" s="8" t="s">
        <v>280</v>
      </c>
      <c r="B145" s="9"/>
      <c r="C145" s="8" t="s">
        <v>31</v>
      </c>
      <c r="D145" s="10">
        <v>44697.00185321759</v>
      </c>
      <c r="E145" s="8" t="s">
        <v>32</v>
      </c>
      <c r="F145" s="8">
        <v>3500.0</v>
      </c>
      <c r="G145" s="8"/>
      <c r="H145" s="8" t="s">
        <v>79</v>
      </c>
      <c r="I145" s="8" t="s">
        <v>363</v>
      </c>
      <c r="J145" s="8" t="s">
        <v>34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8" t="s">
        <v>35</v>
      </c>
      <c r="AD145" s="11"/>
    </row>
    <row r="146" hidden="1">
      <c r="A146" s="4" t="s">
        <v>280</v>
      </c>
      <c r="B146" s="5"/>
      <c r="C146" s="4" t="s">
        <v>31</v>
      </c>
      <c r="D146" s="6">
        <v>44697.00612773148</v>
      </c>
      <c r="E146" s="4" t="s">
        <v>32</v>
      </c>
      <c r="F146" s="4">
        <v>1000.0</v>
      </c>
      <c r="G146" s="4"/>
      <c r="H146" s="4" t="s">
        <v>88</v>
      </c>
      <c r="I146" s="5"/>
      <c r="J146" s="4" t="s">
        <v>34</v>
      </c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4" t="s">
        <v>35</v>
      </c>
      <c r="AD146" s="7"/>
    </row>
    <row r="147" hidden="1">
      <c r="A147" s="8" t="s">
        <v>280</v>
      </c>
      <c r="B147" s="9"/>
      <c r="C147" s="8" t="s">
        <v>31</v>
      </c>
      <c r="D147" s="10">
        <v>44697.00645083333</v>
      </c>
      <c r="E147" s="8" t="s">
        <v>80</v>
      </c>
      <c r="F147" s="8">
        <v>1045.0</v>
      </c>
      <c r="G147" s="8"/>
      <c r="H147" s="8" t="s">
        <v>88</v>
      </c>
      <c r="I147" s="9"/>
      <c r="J147" s="8" t="s">
        <v>34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8" t="s">
        <v>35</v>
      </c>
      <c r="AD147" s="11"/>
    </row>
    <row r="148" hidden="1">
      <c r="A148" s="4" t="s">
        <v>280</v>
      </c>
      <c r="B148" s="5"/>
      <c r="C148" s="4" t="s">
        <v>31</v>
      </c>
      <c r="D148" s="6">
        <v>44697.02661166667</v>
      </c>
      <c r="E148" s="4" t="s">
        <v>80</v>
      </c>
      <c r="F148" s="4">
        <v>1500.0</v>
      </c>
      <c r="G148" s="4"/>
      <c r="H148" s="4" t="s">
        <v>85</v>
      </c>
      <c r="I148" s="5"/>
      <c r="J148" s="4" t="s">
        <v>34</v>
      </c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4" t="s">
        <v>35</v>
      </c>
      <c r="AD148" s="7"/>
    </row>
    <row r="149" hidden="1">
      <c r="A149" s="8" t="s">
        <v>280</v>
      </c>
      <c r="B149" s="9"/>
      <c r="C149" s="8" t="s">
        <v>31</v>
      </c>
      <c r="D149" s="10">
        <v>44697.02716975694</v>
      </c>
      <c r="E149" s="8" t="s">
        <v>32</v>
      </c>
      <c r="F149" s="8">
        <v>1500.0</v>
      </c>
      <c r="G149" s="8"/>
      <c r="H149" s="8" t="s">
        <v>85</v>
      </c>
      <c r="I149" s="9"/>
      <c r="J149" s="8" t="s">
        <v>34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8" t="s">
        <v>35</v>
      </c>
      <c r="AD149" s="11"/>
    </row>
    <row r="150" hidden="1">
      <c r="A150" s="4" t="s">
        <v>280</v>
      </c>
      <c r="B150" s="5"/>
      <c r="C150" s="4" t="s">
        <v>31</v>
      </c>
      <c r="D150" s="6">
        <v>44697.66225908565</v>
      </c>
      <c r="E150" s="4" t="s">
        <v>80</v>
      </c>
      <c r="F150" s="4">
        <v>2634.0</v>
      </c>
      <c r="G150" s="4"/>
      <c r="H150" s="4" t="s">
        <v>238</v>
      </c>
      <c r="I150" s="4" t="s">
        <v>364</v>
      </c>
      <c r="J150" s="4" t="s">
        <v>34</v>
      </c>
      <c r="K150" s="5"/>
      <c r="L150" s="4" t="s">
        <v>365</v>
      </c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4" t="s">
        <v>35</v>
      </c>
      <c r="AD150" s="7"/>
    </row>
    <row r="151" hidden="1">
      <c r="A151" s="8" t="s">
        <v>280</v>
      </c>
      <c r="B151" s="9"/>
      <c r="C151" s="8" t="s">
        <v>31</v>
      </c>
      <c r="D151" s="10">
        <v>44697.66423825231</v>
      </c>
      <c r="E151" s="8" t="s">
        <v>80</v>
      </c>
      <c r="F151" s="8">
        <v>6000.0</v>
      </c>
      <c r="G151" s="8"/>
      <c r="H151" s="8" t="s">
        <v>100</v>
      </c>
      <c r="I151" s="8" t="s">
        <v>366</v>
      </c>
      <c r="J151" s="8" t="s">
        <v>34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8" t="s">
        <v>35</v>
      </c>
      <c r="AD151" s="11"/>
    </row>
    <row r="152" hidden="1">
      <c r="A152" s="4" t="s">
        <v>280</v>
      </c>
      <c r="B152" s="5"/>
      <c r="C152" s="4" t="s">
        <v>31</v>
      </c>
      <c r="D152" s="6">
        <v>44697.66606113426</v>
      </c>
      <c r="E152" s="4" t="s">
        <v>32</v>
      </c>
      <c r="F152" s="4">
        <v>790.0</v>
      </c>
      <c r="G152" s="4"/>
      <c r="H152" s="4" t="s">
        <v>100</v>
      </c>
      <c r="I152" s="4" t="s">
        <v>367</v>
      </c>
      <c r="J152" s="4" t="s">
        <v>34</v>
      </c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4" t="s">
        <v>35</v>
      </c>
      <c r="AD152" s="7"/>
    </row>
    <row r="153" hidden="1">
      <c r="A153" s="8" t="s">
        <v>280</v>
      </c>
      <c r="B153" s="9"/>
      <c r="C153" s="8" t="s">
        <v>283</v>
      </c>
      <c r="D153" s="10">
        <v>44697.69531364583</v>
      </c>
      <c r="E153" s="9"/>
      <c r="F153" s="9"/>
      <c r="G153" s="9"/>
      <c r="H153" s="9"/>
      <c r="I153" s="9"/>
      <c r="J153" s="9"/>
      <c r="K153" s="9"/>
      <c r="L153" s="9"/>
      <c r="M153" s="9"/>
      <c r="N153" s="8" t="s">
        <v>34</v>
      </c>
      <c r="O153" s="8">
        <f>2981+1100</f>
        <v>4081</v>
      </c>
      <c r="P153" s="8" t="s">
        <v>238</v>
      </c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8" t="s">
        <v>35</v>
      </c>
      <c r="AD153" s="11"/>
    </row>
    <row r="154" hidden="1">
      <c r="A154" s="4" t="s">
        <v>280</v>
      </c>
      <c r="B154" s="5"/>
      <c r="C154" s="4" t="s">
        <v>31</v>
      </c>
      <c r="D154" s="6">
        <v>44697.69673722222</v>
      </c>
      <c r="E154" s="4" t="s">
        <v>80</v>
      </c>
      <c r="F154" s="4">
        <v>1000.0</v>
      </c>
      <c r="G154" s="4"/>
      <c r="H154" s="4" t="s">
        <v>33</v>
      </c>
      <c r="I154" s="4" t="s">
        <v>368</v>
      </c>
      <c r="J154" s="4" t="s">
        <v>34</v>
      </c>
      <c r="K154" s="5"/>
      <c r="L154" s="4" t="s">
        <v>369</v>
      </c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4" t="s">
        <v>35</v>
      </c>
      <c r="AD154" s="7"/>
    </row>
    <row r="155" hidden="1">
      <c r="A155" s="8" t="s">
        <v>280</v>
      </c>
      <c r="B155" s="9"/>
      <c r="C155" s="8" t="s">
        <v>31</v>
      </c>
      <c r="D155" s="10">
        <v>44697.69717604166</v>
      </c>
      <c r="E155" s="8" t="s">
        <v>32</v>
      </c>
      <c r="F155" s="8">
        <v>2400.0</v>
      </c>
      <c r="G155" s="8"/>
      <c r="H155" s="8" t="s">
        <v>33</v>
      </c>
      <c r="I155" s="8" t="s">
        <v>368</v>
      </c>
      <c r="J155" s="8" t="s">
        <v>34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8" t="s">
        <v>35</v>
      </c>
      <c r="AD155" s="11"/>
    </row>
    <row r="156" hidden="1">
      <c r="A156" s="4" t="s">
        <v>280</v>
      </c>
      <c r="B156" s="5"/>
      <c r="C156" s="4" t="s">
        <v>31</v>
      </c>
      <c r="D156" s="6">
        <v>44698.72888763889</v>
      </c>
      <c r="E156" s="4" t="s">
        <v>80</v>
      </c>
      <c r="F156" s="4">
        <v>1300.0</v>
      </c>
      <c r="G156" s="4"/>
      <c r="H156" s="4" t="s">
        <v>33</v>
      </c>
      <c r="I156" s="4" t="s">
        <v>370</v>
      </c>
      <c r="J156" s="4" t="s">
        <v>34</v>
      </c>
      <c r="K156" s="4" t="s">
        <v>371</v>
      </c>
      <c r="L156" s="4" t="s">
        <v>372</v>
      </c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4" t="s">
        <v>35</v>
      </c>
      <c r="AD156" s="7"/>
    </row>
    <row r="157" hidden="1">
      <c r="A157" s="8" t="s">
        <v>280</v>
      </c>
      <c r="B157" s="9"/>
      <c r="C157" s="8" t="s">
        <v>31</v>
      </c>
      <c r="D157" s="10">
        <v>44698.95697247685</v>
      </c>
      <c r="E157" s="8" t="s">
        <v>80</v>
      </c>
      <c r="F157" s="8">
        <v>-20.0</v>
      </c>
      <c r="G157" s="8"/>
      <c r="H157" s="8" t="s">
        <v>33</v>
      </c>
      <c r="I157" s="8" t="s">
        <v>373</v>
      </c>
      <c r="J157" s="8" t="s">
        <v>34</v>
      </c>
      <c r="K157" s="9"/>
      <c r="L157" s="8" t="s">
        <v>374</v>
      </c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8" t="s">
        <v>35</v>
      </c>
      <c r="AD157" s="11"/>
    </row>
    <row r="158" hidden="1">
      <c r="A158" s="4" t="s">
        <v>280</v>
      </c>
      <c r="B158" s="5"/>
      <c r="C158" s="4" t="s">
        <v>31</v>
      </c>
      <c r="D158" s="6">
        <v>44698.96114799769</v>
      </c>
      <c r="E158" s="4" t="s">
        <v>80</v>
      </c>
      <c r="F158" s="4">
        <v>-1240.0</v>
      </c>
      <c r="G158" s="4"/>
      <c r="H158" s="4" t="s">
        <v>48</v>
      </c>
      <c r="I158" s="4" t="s">
        <v>81</v>
      </c>
      <c r="J158" s="4" t="s">
        <v>34</v>
      </c>
      <c r="K158" s="5"/>
      <c r="L158" s="4" t="s">
        <v>375</v>
      </c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4" t="s">
        <v>35</v>
      </c>
      <c r="AD158" s="7"/>
    </row>
    <row r="159" hidden="1">
      <c r="A159" s="8" t="s">
        <v>280</v>
      </c>
      <c r="B159" s="9"/>
      <c r="C159" s="8" t="s">
        <v>31</v>
      </c>
      <c r="D159" s="10">
        <v>44698.96366929398</v>
      </c>
      <c r="E159" s="8" t="s">
        <v>32</v>
      </c>
      <c r="F159" s="8">
        <v>4540.0</v>
      </c>
      <c r="G159" s="8"/>
      <c r="H159" s="8" t="s">
        <v>48</v>
      </c>
      <c r="I159" s="8" t="s">
        <v>81</v>
      </c>
      <c r="J159" s="8" t="s">
        <v>34</v>
      </c>
      <c r="K159" s="9"/>
      <c r="L159" s="8" t="s">
        <v>376</v>
      </c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8" t="s">
        <v>35</v>
      </c>
      <c r="AD159" s="11"/>
    </row>
    <row r="160" hidden="1">
      <c r="A160" s="4" t="s">
        <v>280</v>
      </c>
      <c r="B160" s="5"/>
      <c r="C160" s="4" t="s">
        <v>31</v>
      </c>
      <c r="D160" s="6">
        <v>44699.71807293981</v>
      </c>
      <c r="E160" s="4" t="s">
        <v>32</v>
      </c>
      <c r="F160" s="4">
        <v>11669.0</v>
      </c>
      <c r="G160" s="4"/>
      <c r="H160" s="4" t="s">
        <v>36</v>
      </c>
      <c r="I160" s="4" t="s">
        <v>377</v>
      </c>
      <c r="J160" s="4" t="s">
        <v>34</v>
      </c>
      <c r="K160" s="5"/>
      <c r="L160" s="4" t="s">
        <v>377</v>
      </c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4" t="s">
        <v>35</v>
      </c>
      <c r="AD160" s="7"/>
    </row>
    <row r="161" hidden="1">
      <c r="A161" s="8" t="s">
        <v>280</v>
      </c>
      <c r="B161" s="9"/>
      <c r="C161" s="8" t="s">
        <v>31</v>
      </c>
      <c r="D161" s="10">
        <v>44699.71968673611</v>
      </c>
      <c r="E161" s="8" t="s">
        <v>80</v>
      </c>
      <c r="F161" s="8">
        <v>10063.0</v>
      </c>
      <c r="G161" s="8"/>
      <c r="H161" s="8" t="s">
        <v>36</v>
      </c>
      <c r="I161" s="8" t="s">
        <v>378</v>
      </c>
      <c r="J161" s="8" t="s">
        <v>34</v>
      </c>
      <c r="K161" s="9"/>
      <c r="L161" s="8" t="s">
        <v>378</v>
      </c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8" t="s">
        <v>35</v>
      </c>
      <c r="AD161" s="11"/>
    </row>
    <row r="162" hidden="1">
      <c r="A162" s="4" t="s">
        <v>280</v>
      </c>
      <c r="B162" s="5"/>
      <c r="C162" s="4" t="s">
        <v>31</v>
      </c>
      <c r="D162" s="6">
        <v>44699.7213934375</v>
      </c>
      <c r="E162" s="4" t="s">
        <v>32</v>
      </c>
      <c r="F162" s="4">
        <v>17446.0</v>
      </c>
      <c r="G162" s="4"/>
      <c r="H162" s="4" t="s">
        <v>36</v>
      </c>
      <c r="I162" s="4" t="s">
        <v>379</v>
      </c>
      <c r="J162" s="4" t="s">
        <v>34</v>
      </c>
      <c r="K162" s="5"/>
      <c r="L162" s="4" t="s">
        <v>379</v>
      </c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4" t="s">
        <v>35</v>
      </c>
      <c r="AD162" s="7"/>
    </row>
    <row r="163" hidden="1">
      <c r="A163" s="8" t="s">
        <v>280</v>
      </c>
      <c r="B163" s="9"/>
      <c r="C163" s="8" t="s">
        <v>31</v>
      </c>
      <c r="D163" s="10">
        <v>44699.722737777774</v>
      </c>
      <c r="E163" s="8" t="s">
        <v>32</v>
      </c>
      <c r="F163" s="8">
        <v>14423.0</v>
      </c>
      <c r="G163" s="8"/>
      <c r="H163" s="8" t="s">
        <v>36</v>
      </c>
      <c r="I163" s="8" t="s">
        <v>380</v>
      </c>
      <c r="J163" s="8" t="s">
        <v>34</v>
      </c>
      <c r="K163" s="9"/>
      <c r="L163" s="8" t="s">
        <v>380</v>
      </c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8" t="s">
        <v>35</v>
      </c>
      <c r="AD163" s="11"/>
    </row>
    <row r="164" hidden="1">
      <c r="A164" s="4" t="s">
        <v>280</v>
      </c>
      <c r="B164" s="5"/>
      <c r="C164" s="4" t="s">
        <v>31</v>
      </c>
      <c r="D164" s="6">
        <v>44699.729938310185</v>
      </c>
      <c r="E164" s="4" t="s">
        <v>32</v>
      </c>
      <c r="F164" s="4">
        <v>9400.0</v>
      </c>
      <c r="G164" s="4"/>
      <c r="H164" s="4" t="s">
        <v>36</v>
      </c>
      <c r="I164" s="4" t="s">
        <v>381</v>
      </c>
      <c r="J164" s="4" t="s">
        <v>34</v>
      </c>
      <c r="K164" s="5"/>
      <c r="L164" s="4" t="s">
        <v>381</v>
      </c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4" t="s">
        <v>35</v>
      </c>
      <c r="AD164" s="7"/>
    </row>
    <row r="165" hidden="1">
      <c r="A165" s="8" t="s">
        <v>280</v>
      </c>
      <c r="B165" s="9"/>
      <c r="C165" s="8" t="s">
        <v>31</v>
      </c>
      <c r="D165" s="10">
        <v>44699.75523322917</v>
      </c>
      <c r="E165" s="8" t="s">
        <v>32</v>
      </c>
      <c r="F165" s="8">
        <v>672.0</v>
      </c>
      <c r="G165" s="8"/>
      <c r="H165" s="8" t="s">
        <v>36</v>
      </c>
      <c r="I165" s="8" t="s">
        <v>382</v>
      </c>
      <c r="J165" s="8" t="s">
        <v>34</v>
      </c>
      <c r="K165" s="9"/>
      <c r="L165" s="8" t="s">
        <v>382</v>
      </c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8" t="s">
        <v>35</v>
      </c>
      <c r="AD165" s="11"/>
    </row>
    <row r="166" hidden="1">
      <c r="A166" s="4" t="s">
        <v>280</v>
      </c>
      <c r="B166" s="5"/>
      <c r="C166" s="4" t="s">
        <v>283</v>
      </c>
      <c r="D166" s="6">
        <v>44699.77230195602</v>
      </c>
      <c r="E166" s="5"/>
      <c r="F166" s="5"/>
      <c r="G166" s="5"/>
      <c r="H166" s="5"/>
      <c r="I166" s="5"/>
      <c r="J166" s="5"/>
      <c r="K166" s="5"/>
      <c r="L166" s="5"/>
      <c r="M166" s="5"/>
      <c r="N166" s="4" t="s">
        <v>34</v>
      </c>
      <c r="O166" s="4">
        <v>1200.0</v>
      </c>
      <c r="P166" s="4" t="s">
        <v>36</v>
      </c>
      <c r="Q166" s="4" t="s">
        <v>383</v>
      </c>
      <c r="R166" s="4" t="s">
        <v>256</v>
      </c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4" t="s">
        <v>35</v>
      </c>
      <c r="AD166" s="7"/>
    </row>
    <row r="167" hidden="1">
      <c r="A167" s="8" t="s">
        <v>280</v>
      </c>
      <c r="B167" s="9"/>
      <c r="C167" s="8" t="s">
        <v>283</v>
      </c>
      <c r="D167" s="10">
        <v>44699.78707840278</v>
      </c>
      <c r="E167" s="9"/>
      <c r="F167" s="9"/>
      <c r="G167" s="9"/>
      <c r="H167" s="9"/>
      <c r="I167" s="9"/>
      <c r="J167" s="9"/>
      <c r="K167" s="9"/>
      <c r="L167" s="9"/>
      <c r="M167" s="9"/>
      <c r="N167" s="8" t="s">
        <v>34</v>
      </c>
      <c r="O167" s="8">
        <v>811.5</v>
      </c>
      <c r="P167" s="8" t="s">
        <v>75</v>
      </c>
      <c r="Q167" s="8" t="s">
        <v>384</v>
      </c>
      <c r="R167" s="8" t="s">
        <v>385</v>
      </c>
      <c r="S167" s="8" t="s">
        <v>386</v>
      </c>
      <c r="T167" s="9"/>
      <c r="U167" s="9"/>
      <c r="V167" s="9"/>
      <c r="W167" s="9"/>
      <c r="X167" s="9"/>
      <c r="Y167" s="9"/>
      <c r="Z167" s="9"/>
      <c r="AA167" s="9"/>
      <c r="AB167" s="9"/>
      <c r="AC167" s="8" t="s">
        <v>35</v>
      </c>
      <c r="AD167" s="11"/>
    </row>
    <row r="168">
      <c r="A168" s="4" t="s">
        <v>221</v>
      </c>
      <c r="B168" s="5"/>
      <c r="C168" s="4" t="s">
        <v>31</v>
      </c>
      <c r="D168" s="6">
        <v>44699.83745806713</v>
      </c>
      <c r="E168" s="4" t="s">
        <v>99</v>
      </c>
      <c r="F168" s="4">
        <v>3000.0</v>
      </c>
      <c r="G168" s="4"/>
      <c r="H168" s="4" t="s">
        <v>39</v>
      </c>
      <c r="I168" s="4" t="s">
        <v>387</v>
      </c>
      <c r="J168" s="4" t="s">
        <v>34</v>
      </c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 t="str">
        <f t="shared" ref="AA168:AA239" si="3">IF(Y168="Euro",IF(ISBLANK(Z168),W168*3.25,W168*Z168),W168)</f>
        <v/>
      </c>
      <c r="AB168" s="5"/>
      <c r="AC168" s="4" t="s">
        <v>35</v>
      </c>
      <c r="AD168" s="7"/>
    </row>
    <row r="169" hidden="1">
      <c r="A169" s="9"/>
      <c r="B169" s="9"/>
      <c r="C169" s="8" t="s">
        <v>208</v>
      </c>
      <c r="D169" s="10">
        <v>44700.07470724537</v>
      </c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8" t="s">
        <v>99</v>
      </c>
      <c r="V169" s="8" t="s">
        <v>32</v>
      </c>
      <c r="W169" s="8">
        <v>800.0</v>
      </c>
      <c r="X169" s="8"/>
      <c r="Y169" s="8" t="s">
        <v>209</v>
      </c>
      <c r="Z169" s="9"/>
      <c r="AA169" s="9">
        <f t="shared" si="3"/>
        <v>800</v>
      </c>
      <c r="AB169" s="8" t="s">
        <v>388</v>
      </c>
      <c r="AC169" s="8" t="s">
        <v>35</v>
      </c>
      <c r="AD169" s="11"/>
    </row>
    <row r="170" hidden="1">
      <c r="A170" s="5"/>
      <c r="B170" s="5"/>
      <c r="C170" s="4" t="s">
        <v>208</v>
      </c>
      <c r="D170" s="6">
        <v>44704.79400981481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4" t="s">
        <v>99</v>
      </c>
      <c r="V170" s="4" t="s">
        <v>32</v>
      </c>
      <c r="W170" s="4">
        <v>9750.0</v>
      </c>
      <c r="X170" s="4"/>
      <c r="Y170" s="4" t="s">
        <v>209</v>
      </c>
      <c r="Z170" s="5"/>
      <c r="AA170" s="5">
        <f t="shared" si="3"/>
        <v>9750</v>
      </c>
      <c r="AB170" s="4" t="s">
        <v>389</v>
      </c>
      <c r="AC170" s="4" t="s">
        <v>35</v>
      </c>
      <c r="AD170" s="7"/>
    </row>
    <row r="171" hidden="1">
      <c r="A171" s="9"/>
      <c r="B171" s="9"/>
      <c r="C171" s="8" t="s">
        <v>283</v>
      </c>
      <c r="D171" s="10">
        <v>44707.97344915509</v>
      </c>
      <c r="E171" s="9"/>
      <c r="F171" s="9"/>
      <c r="G171" s="9"/>
      <c r="H171" s="9"/>
      <c r="I171" s="9"/>
      <c r="J171" s="9"/>
      <c r="K171" s="9"/>
      <c r="L171" s="9"/>
      <c r="M171" s="9"/>
      <c r="N171" s="8" t="s">
        <v>40</v>
      </c>
      <c r="O171" s="8">
        <v>14120.0</v>
      </c>
      <c r="P171" s="8" t="s">
        <v>39</v>
      </c>
      <c r="Q171" s="9"/>
      <c r="R171" s="8" t="s">
        <v>184</v>
      </c>
      <c r="S171" s="9"/>
      <c r="T171" s="12" t="s">
        <v>390</v>
      </c>
      <c r="U171" s="9"/>
      <c r="V171" s="9"/>
      <c r="W171" s="9"/>
      <c r="X171" s="9"/>
      <c r="Y171" s="9"/>
      <c r="Z171" s="9"/>
      <c r="AA171" s="9" t="str">
        <f t="shared" si="3"/>
        <v/>
      </c>
      <c r="AB171" s="9"/>
      <c r="AC171" s="8" t="s">
        <v>35</v>
      </c>
      <c r="AD171" s="11"/>
    </row>
    <row r="172" hidden="1">
      <c r="A172" s="5"/>
      <c r="B172" s="5"/>
      <c r="C172" s="4" t="s">
        <v>283</v>
      </c>
      <c r="D172" s="6">
        <v>44708.80783119213</v>
      </c>
      <c r="E172" s="5"/>
      <c r="F172" s="5"/>
      <c r="G172" s="5"/>
      <c r="H172" s="5"/>
      <c r="I172" s="5"/>
      <c r="J172" s="5"/>
      <c r="K172" s="5"/>
      <c r="L172" s="5"/>
      <c r="M172" s="5"/>
      <c r="N172" s="4" t="s">
        <v>40</v>
      </c>
      <c r="O172" s="4">
        <v>7961.0</v>
      </c>
      <c r="P172" s="4" t="s">
        <v>39</v>
      </c>
      <c r="Q172" s="4" t="s">
        <v>391</v>
      </c>
      <c r="R172" s="4" t="s">
        <v>184</v>
      </c>
      <c r="S172" s="4" t="s">
        <v>392</v>
      </c>
      <c r="T172" s="14" t="s">
        <v>393</v>
      </c>
      <c r="U172" s="5"/>
      <c r="V172" s="5"/>
      <c r="W172" s="5"/>
      <c r="X172" s="5"/>
      <c r="Y172" s="5"/>
      <c r="Z172" s="5"/>
      <c r="AA172" s="5" t="str">
        <f t="shared" si="3"/>
        <v/>
      </c>
      <c r="AB172" s="5"/>
      <c r="AC172" s="4" t="s">
        <v>35</v>
      </c>
      <c r="AD172" s="7"/>
    </row>
    <row r="173" hidden="1">
      <c r="A173" s="9"/>
      <c r="B173" s="9"/>
      <c r="C173" s="8" t="s">
        <v>283</v>
      </c>
      <c r="D173" s="10">
        <v>44708.813545983794</v>
      </c>
      <c r="E173" s="9"/>
      <c r="F173" s="9"/>
      <c r="G173" s="9"/>
      <c r="H173" s="9"/>
      <c r="I173" s="9"/>
      <c r="J173" s="9"/>
      <c r="K173" s="9"/>
      <c r="L173" s="9"/>
      <c r="M173" s="9"/>
      <c r="N173" s="8" t="s">
        <v>52</v>
      </c>
      <c r="O173" s="8">
        <v>2720.0</v>
      </c>
      <c r="P173" s="8" t="s">
        <v>100</v>
      </c>
      <c r="Q173" s="8" t="s">
        <v>394</v>
      </c>
      <c r="R173" s="8" t="s">
        <v>395</v>
      </c>
      <c r="S173" s="9"/>
      <c r="T173" s="12" t="s">
        <v>396</v>
      </c>
      <c r="U173" s="9"/>
      <c r="V173" s="9"/>
      <c r="W173" s="9"/>
      <c r="X173" s="9"/>
      <c r="Y173" s="9"/>
      <c r="Z173" s="9"/>
      <c r="AA173" s="9" t="str">
        <f t="shared" si="3"/>
        <v/>
      </c>
      <c r="AB173" s="9"/>
      <c r="AC173" s="8" t="s">
        <v>35</v>
      </c>
      <c r="AD173" s="11"/>
    </row>
    <row r="174" hidden="1">
      <c r="A174" s="4" t="s">
        <v>280</v>
      </c>
      <c r="B174" s="5"/>
      <c r="C174" s="4" t="s">
        <v>283</v>
      </c>
      <c r="D174" s="6">
        <v>44708.82463991898</v>
      </c>
      <c r="E174" s="5"/>
      <c r="F174" s="5"/>
      <c r="G174" s="5"/>
      <c r="H174" s="5"/>
      <c r="I174" s="5"/>
      <c r="J174" s="5"/>
      <c r="K174" s="5"/>
      <c r="L174" s="5"/>
      <c r="M174" s="5"/>
      <c r="N174" s="4" t="s">
        <v>40</v>
      </c>
      <c r="O174" s="4">
        <v>3520.0</v>
      </c>
      <c r="P174" s="4" t="s">
        <v>79</v>
      </c>
      <c r="Q174" s="4" t="s">
        <v>397</v>
      </c>
      <c r="R174" s="4" t="s">
        <v>398</v>
      </c>
      <c r="S174" s="5"/>
      <c r="T174" s="14" t="s">
        <v>399</v>
      </c>
      <c r="U174" s="5"/>
      <c r="V174" s="5"/>
      <c r="W174" s="5"/>
      <c r="X174" s="5"/>
      <c r="Y174" s="5"/>
      <c r="Z174" s="5"/>
      <c r="AA174" s="5" t="str">
        <f t="shared" si="3"/>
        <v/>
      </c>
      <c r="AB174" s="5"/>
      <c r="AC174" s="4" t="s">
        <v>35</v>
      </c>
      <c r="AD174" s="7"/>
    </row>
    <row r="175" hidden="1">
      <c r="A175" s="8" t="s">
        <v>280</v>
      </c>
      <c r="B175" s="9"/>
      <c r="C175" s="8" t="s">
        <v>283</v>
      </c>
      <c r="D175" s="10">
        <v>44708.82620869213</v>
      </c>
      <c r="E175" s="9"/>
      <c r="F175" s="9"/>
      <c r="G175" s="9"/>
      <c r="H175" s="9"/>
      <c r="I175" s="9"/>
      <c r="J175" s="9"/>
      <c r="K175" s="9"/>
      <c r="L175" s="9"/>
      <c r="M175" s="9"/>
      <c r="N175" s="8" t="s">
        <v>40</v>
      </c>
      <c r="O175" s="8">
        <f>2630-O176</f>
        <v>1830</v>
      </c>
      <c r="P175" s="8" t="s">
        <v>85</v>
      </c>
      <c r="Q175" s="8" t="s">
        <v>400</v>
      </c>
      <c r="R175" s="8" t="s">
        <v>401</v>
      </c>
      <c r="S175" s="8" t="s">
        <v>402</v>
      </c>
      <c r="T175" s="20" t="s">
        <v>403</v>
      </c>
      <c r="U175" s="9"/>
      <c r="V175" s="9"/>
      <c r="W175" s="9"/>
      <c r="X175" s="9"/>
      <c r="Y175" s="9"/>
      <c r="Z175" s="9"/>
      <c r="AA175" s="9" t="str">
        <f t="shared" si="3"/>
        <v/>
      </c>
      <c r="AB175" s="9"/>
      <c r="AC175" s="8" t="s">
        <v>35</v>
      </c>
      <c r="AD175" s="11"/>
    </row>
    <row r="176" hidden="1">
      <c r="A176" s="4" t="s">
        <v>280</v>
      </c>
      <c r="B176" s="5"/>
      <c r="C176" s="4" t="s">
        <v>283</v>
      </c>
      <c r="D176" s="6">
        <v>44708.82620869213</v>
      </c>
      <c r="E176" s="5"/>
      <c r="F176" s="5"/>
      <c r="G176" s="5"/>
      <c r="H176" s="5"/>
      <c r="I176" s="5"/>
      <c r="J176" s="5"/>
      <c r="K176" s="5"/>
      <c r="L176" s="5"/>
      <c r="M176" s="5"/>
      <c r="N176" s="4" t="s">
        <v>40</v>
      </c>
      <c r="O176" s="4">
        <v>800.0</v>
      </c>
      <c r="P176" s="4" t="s">
        <v>88</v>
      </c>
      <c r="Q176" s="4" t="s">
        <v>400</v>
      </c>
      <c r="R176" s="4" t="s">
        <v>401</v>
      </c>
      <c r="S176" s="4" t="s">
        <v>402</v>
      </c>
      <c r="T176" s="19" t="s">
        <v>403</v>
      </c>
      <c r="U176" s="5"/>
      <c r="V176" s="5"/>
      <c r="W176" s="5"/>
      <c r="X176" s="5"/>
      <c r="Y176" s="5"/>
      <c r="Z176" s="5"/>
      <c r="AA176" s="5" t="str">
        <f t="shared" si="3"/>
        <v/>
      </c>
      <c r="AB176" s="5"/>
      <c r="AC176" s="4" t="s">
        <v>35</v>
      </c>
      <c r="AD176" s="7"/>
    </row>
    <row r="177" hidden="1">
      <c r="A177" s="8" t="s">
        <v>280</v>
      </c>
      <c r="B177" s="9"/>
      <c r="C177" s="8" t="s">
        <v>283</v>
      </c>
      <c r="D177" s="10">
        <v>44708.8293582176</v>
      </c>
      <c r="E177" s="9"/>
      <c r="F177" s="9"/>
      <c r="G177" s="9"/>
      <c r="H177" s="9"/>
      <c r="I177" s="9"/>
      <c r="J177" s="9"/>
      <c r="K177" s="9"/>
      <c r="L177" s="9"/>
      <c r="M177" s="9"/>
      <c r="N177" s="8" t="s">
        <v>52</v>
      </c>
      <c r="O177" s="8">
        <v>2130.0</v>
      </c>
      <c r="P177" s="8" t="s">
        <v>48</v>
      </c>
      <c r="Q177" s="8" t="s">
        <v>130</v>
      </c>
      <c r="R177" s="8" t="s">
        <v>404</v>
      </c>
      <c r="S177" s="9"/>
      <c r="T177" s="20" t="s">
        <v>403</v>
      </c>
      <c r="U177" s="9"/>
      <c r="V177" s="9"/>
      <c r="W177" s="9"/>
      <c r="X177" s="9"/>
      <c r="Y177" s="9"/>
      <c r="Z177" s="9"/>
      <c r="AA177" s="9" t="str">
        <f t="shared" si="3"/>
        <v/>
      </c>
      <c r="AB177" s="9"/>
      <c r="AC177" s="8" t="s">
        <v>35</v>
      </c>
      <c r="AD177" s="11"/>
    </row>
    <row r="178" hidden="1">
      <c r="A178" s="4" t="s">
        <v>280</v>
      </c>
      <c r="B178" s="5"/>
      <c r="C178" s="4" t="s">
        <v>283</v>
      </c>
      <c r="D178" s="6">
        <v>44708.832916851854</v>
      </c>
      <c r="E178" s="5"/>
      <c r="F178" s="5"/>
      <c r="G178" s="5"/>
      <c r="H178" s="5"/>
      <c r="I178" s="5"/>
      <c r="J178" s="5"/>
      <c r="K178" s="5"/>
      <c r="L178" s="5"/>
      <c r="M178" s="5"/>
      <c r="N178" s="4" t="s">
        <v>40</v>
      </c>
      <c r="O178" s="4">
        <v>5760.0</v>
      </c>
      <c r="P178" s="4" t="s">
        <v>33</v>
      </c>
      <c r="Q178" s="5"/>
      <c r="R178" s="4" t="s">
        <v>370</v>
      </c>
      <c r="S178" s="4" t="s">
        <v>405</v>
      </c>
      <c r="T178" s="19" t="s">
        <v>406</v>
      </c>
      <c r="U178" s="5"/>
      <c r="V178" s="5"/>
      <c r="W178" s="5"/>
      <c r="X178" s="5"/>
      <c r="Y178" s="5"/>
      <c r="Z178" s="5"/>
      <c r="AA178" s="5" t="str">
        <f t="shared" si="3"/>
        <v/>
      </c>
      <c r="AB178" s="5"/>
      <c r="AC178" s="4" t="s">
        <v>35</v>
      </c>
      <c r="AD178" s="7"/>
    </row>
    <row r="179" hidden="1">
      <c r="A179" s="8" t="s">
        <v>280</v>
      </c>
      <c r="B179" s="9"/>
      <c r="C179" s="8" t="s">
        <v>283</v>
      </c>
      <c r="D179" s="10">
        <v>44708.83411271991</v>
      </c>
      <c r="E179" s="9"/>
      <c r="F179" s="9"/>
      <c r="G179" s="9"/>
      <c r="H179" s="9"/>
      <c r="I179" s="9"/>
      <c r="J179" s="9"/>
      <c r="K179" s="9"/>
      <c r="L179" s="9"/>
      <c r="M179" s="9"/>
      <c r="N179" s="8" t="s">
        <v>40</v>
      </c>
      <c r="O179" s="8">
        <v>6350.0</v>
      </c>
      <c r="P179" s="8" t="s">
        <v>57</v>
      </c>
      <c r="Q179" s="8" t="s">
        <v>407</v>
      </c>
      <c r="R179" s="8" t="s">
        <v>407</v>
      </c>
      <c r="S179" s="8" t="s">
        <v>408</v>
      </c>
      <c r="T179" s="20" t="s">
        <v>406</v>
      </c>
      <c r="U179" s="9"/>
      <c r="V179" s="9"/>
      <c r="W179" s="9"/>
      <c r="X179" s="9"/>
      <c r="Y179" s="9"/>
      <c r="Z179" s="9"/>
      <c r="AA179" s="9" t="str">
        <f t="shared" si="3"/>
        <v/>
      </c>
      <c r="AB179" s="9"/>
      <c r="AC179" s="8" t="s">
        <v>35</v>
      </c>
      <c r="AD179" s="11"/>
    </row>
    <row r="180" hidden="1">
      <c r="A180" s="4" t="s">
        <v>280</v>
      </c>
      <c r="B180" s="5"/>
      <c r="C180" s="4" t="s">
        <v>283</v>
      </c>
      <c r="D180" s="6">
        <v>44708.83895261574</v>
      </c>
      <c r="E180" s="5"/>
      <c r="F180" s="5"/>
      <c r="G180" s="5"/>
      <c r="H180" s="5"/>
      <c r="I180" s="5"/>
      <c r="J180" s="5"/>
      <c r="K180" s="5"/>
      <c r="L180" s="5"/>
      <c r="M180" s="5"/>
      <c r="N180" s="4" t="s">
        <v>40</v>
      </c>
      <c r="O180" s="4">
        <v>37963.0</v>
      </c>
      <c r="P180" s="4" t="s">
        <v>36</v>
      </c>
      <c r="Q180" s="5"/>
      <c r="R180" s="5"/>
      <c r="S180" s="5"/>
      <c r="T180" s="14" t="s">
        <v>409</v>
      </c>
      <c r="U180" s="5"/>
      <c r="V180" s="5"/>
      <c r="W180" s="5"/>
      <c r="X180" s="5"/>
      <c r="Y180" s="5"/>
      <c r="Z180" s="5"/>
      <c r="AA180" s="5" t="str">
        <f t="shared" si="3"/>
        <v/>
      </c>
      <c r="AB180" s="5"/>
      <c r="AC180" s="4" t="s">
        <v>35</v>
      </c>
      <c r="AD180" s="7"/>
    </row>
    <row r="181">
      <c r="A181" s="8" t="s">
        <v>280</v>
      </c>
      <c r="B181" s="9"/>
      <c r="C181" s="8" t="s">
        <v>31</v>
      </c>
      <c r="D181" s="10">
        <v>44708.85403873843</v>
      </c>
      <c r="E181" s="8" t="s">
        <v>99</v>
      </c>
      <c r="F181" s="8">
        <v>1695.0</v>
      </c>
      <c r="G181" s="8"/>
      <c r="H181" s="8" t="s">
        <v>39</v>
      </c>
      <c r="I181" s="9"/>
      <c r="J181" s="8" t="s">
        <v>40</v>
      </c>
      <c r="K181" s="8" t="s">
        <v>410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 t="str">
        <f t="shared" si="3"/>
        <v/>
      </c>
      <c r="AB181" s="9"/>
      <c r="AC181" s="8" t="s">
        <v>35</v>
      </c>
      <c r="AD181" s="11"/>
    </row>
    <row r="182">
      <c r="A182" s="4" t="s">
        <v>280</v>
      </c>
      <c r="B182" s="5"/>
      <c r="C182" s="4" t="s">
        <v>31</v>
      </c>
      <c r="D182" s="6">
        <v>44708.85462814815</v>
      </c>
      <c r="E182" s="4" t="s">
        <v>411</v>
      </c>
      <c r="F182" s="4">
        <v>1755.0</v>
      </c>
      <c r="G182" s="4"/>
      <c r="H182" s="4" t="s">
        <v>39</v>
      </c>
      <c r="I182" s="5"/>
      <c r="J182" s="4" t="s">
        <v>52</v>
      </c>
      <c r="K182" s="4" t="s">
        <v>412</v>
      </c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 t="str">
        <f t="shared" si="3"/>
        <v/>
      </c>
      <c r="AB182" s="5"/>
      <c r="AC182" s="4" t="s">
        <v>35</v>
      </c>
      <c r="AD182" s="7"/>
    </row>
    <row r="183">
      <c r="A183" s="8" t="s">
        <v>280</v>
      </c>
      <c r="B183" s="9"/>
      <c r="C183" s="8" t="s">
        <v>31</v>
      </c>
      <c r="D183" s="10">
        <v>44708.85565572917</v>
      </c>
      <c r="E183" s="8" t="s">
        <v>413</v>
      </c>
      <c r="F183" s="8">
        <v>3000.0</v>
      </c>
      <c r="G183" s="8"/>
      <c r="H183" s="8" t="s">
        <v>39</v>
      </c>
      <c r="I183" s="9"/>
      <c r="J183" s="8" t="s">
        <v>40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 t="str">
        <f t="shared" si="3"/>
        <v/>
      </c>
      <c r="AB183" s="9"/>
      <c r="AC183" s="8" t="s">
        <v>35</v>
      </c>
      <c r="AD183" s="11"/>
    </row>
    <row r="184">
      <c r="A184" s="4" t="s">
        <v>280</v>
      </c>
      <c r="B184" s="5"/>
      <c r="C184" s="4" t="s">
        <v>31</v>
      </c>
      <c r="D184" s="6">
        <v>44708.85607259259</v>
      </c>
      <c r="E184" s="4" t="s">
        <v>99</v>
      </c>
      <c r="F184" s="4">
        <v>4720.0</v>
      </c>
      <c r="G184" s="4"/>
      <c r="H184" s="4" t="s">
        <v>39</v>
      </c>
      <c r="I184" s="5"/>
      <c r="J184" s="4" t="s">
        <v>40</v>
      </c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 t="str">
        <f t="shared" si="3"/>
        <v/>
      </c>
      <c r="AB184" s="5"/>
      <c r="AC184" s="4" t="s">
        <v>35</v>
      </c>
      <c r="AD184" s="7"/>
    </row>
    <row r="185" hidden="1">
      <c r="A185" s="9"/>
      <c r="B185" s="9"/>
      <c r="C185" s="8" t="s">
        <v>283</v>
      </c>
      <c r="D185" s="10">
        <v>44708.86244354167</v>
      </c>
      <c r="E185" s="9"/>
      <c r="F185" s="9"/>
      <c r="G185" s="9"/>
      <c r="H185" s="9"/>
      <c r="I185" s="9"/>
      <c r="J185" s="9"/>
      <c r="K185" s="9"/>
      <c r="L185" s="9"/>
      <c r="M185" s="9"/>
      <c r="N185" s="8" t="s">
        <v>52</v>
      </c>
      <c r="O185" s="8">
        <v>2737.0</v>
      </c>
      <c r="P185" s="8" t="s">
        <v>39</v>
      </c>
      <c r="Q185" s="9"/>
      <c r="R185" s="8" t="s">
        <v>414</v>
      </c>
      <c r="S185" s="9"/>
      <c r="T185" s="12" t="s">
        <v>415</v>
      </c>
      <c r="U185" s="9"/>
      <c r="V185" s="9"/>
      <c r="W185" s="9"/>
      <c r="X185" s="9"/>
      <c r="Y185" s="9"/>
      <c r="Z185" s="9"/>
      <c r="AA185" s="9" t="str">
        <f t="shared" si="3"/>
        <v/>
      </c>
      <c r="AB185" s="9"/>
      <c r="AC185" s="8" t="s">
        <v>35</v>
      </c>
      <c r="AD185" s="11"/>
    </row>
    <row r="186" hidden="1">
      <c r="A186" s="4" t="s">
        <v>280</v>
      </c>
      <c r="B186" s="5"/>
      <c r="C186" s="4" t="s">
        <v>31</v>
      </c>
      <c r="D186" s="6">
        <v>44709.688592673614</v>
      </c>
      <c r="E186" s="4" t="s">
        <v>99</v>
      </c>
      <c r="F186" s="4">
        <v>7470.0</v>
      </c>
      <c r="G186" s="4"/>
      <c r="H186" s="4" t="s">
        <v>36</v>
      </c>
      <c r="I186" s="5"/>
      <c r="J186" s="4" t="s">
        <v>40</v>
      </c>
      <c r="K186" s="4" t="s">
        <v>416</v>
      </c>
      <c r="L186" s="4" t="s">
        <v>417</v>
      </c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 t="str">
        <f t="shared" si="3"/>
        <v/>
      </c>
      <c r="AB186" s="5"/>
      <c r="AC186" s="4" t="s">
        <v>35</v>
      </c>
      <c r="AD186" s="7"/>
    </row>
    <row r="187" hidden="1">
      <c r="A187" s="8" t="s">
        <v>280</v>
      </c>
      <c r="B187" s="9"/>
      <c r="C187" s="8" t="s">
        <v>31</v>
      </c>
      <c r="D187" s="10">
        <v>44709.69132349537</v>
      </c>
      <c r="E187" s="8" t="s">
        <v>413</v>
      </c>
      <c r="F187" s="8">
        <v>4000.0</v>
      </c>
      <c r="G187" s="8"/>
      <c r="H187" s="8" t="s">
        <v>36</v>
      </c>
      <c r="I187" s="8" t="s">
        <v>418</v>
      </c>
      <c r="J187" s="8" t="s">
        <v>40</v>
      </c>
      <c r="K187" s="9"/>
      <c r="L187" s="8" t="s">
        <v>419</v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 t="str">
        <f t="shared" si="3"/>
        <v/>
      </c>
      <c r="AB187" s="9"/>
      <c r="AC187" s="8" t="s">
        <v>35</v>
      </c>
      <c r="AD187" s="11"/>
    </row>
    <row r="188" hidden="1">
      <c r="A188" s="4" t="s">
        <v>280</v>
      </c>
      <c r="B188" s="5"/>
      <c r="C188" s="4" t="s">
        <v>31</v>
      </c>
      <c r="D188" s="6">
        <v>44709.7098897338</v>
      </c>
      <c r="E188" s="4" t="s">
        <v>80</v>
      </c>
      <c r="F188" s="4">
        <v>-970.0</v>
      </c>
      <c r="G188" s="4"/>
      <c r="H188" s="4" t="s">
        <v>36</v>
      </c>
      <c r="I188" s="5"/>
      <c r="J188" s="4" t="s">
        <v>40</v>
      </c>
      <c r="K188" s="5"/>
      <c r="L188" s="4" t="s">
        <v>420</v>
      </c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 t="str">
        <f t="shared" si="3"/>
        <v/>
      </c>
      <c r="AB188" s="5"/>
      <c r="AC188" s="4" t="s">
        <v>35</v>
      </c>
      <c r="AD188" s="7"/>
    </row>
    <row r="189" hidden="1">
      <c r="A189" s="8" t="s">
        <v>280</v>
      </c>
      <c r="B189" s="9"/>
      <c r="C189" s="8" t="s">
        <v>31</v>
      </c>
      <c r="D189" s="10">
        <v>44709.711546377315</v>
      </c>
      <c r="E189" s="8" t="s">
        <v>413</v>
      </c>
      <c r="F189" s="8">
        <v>3053.0</v>
      </c>
      <c r="G189" s="8"/>
      <c r="H189" s="8" t="s">
        <v>36</v>
      </c>
      <c r="I189" s="8" t="s">
        <v>421</v>
      </c>
      <c r="J189" s="8" t="s">
        <v>40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 t="str">
        <f t="shared" si="3"/>
        <v/>
      </c>
      <c r="AB189" s="9"/>
      <c r="AC189" s="8" t="s">
        <v>35</v>
      </c>
      <c r="AD189" s="11"/>
    </row>
    <row r="190" hidden="1">
      <c r="A190" s="4" t="s">
        <v>280</v>
      </c>
      <c r="B190" s="5"/>
      <c r="C190" s="4" t="s">
        <v>31</v>
      </c>
      <c r="D190" s="6">
        <v>44709.72907758102</v>
      </c>
      <c r="E190" s="4" t="s">
        <v>99</v>
      </c>
      <c r="F190" s="4">
        <v>5100.0</v>
      </c>
      <c r="G190" s="4"/>
      <c r="H190" s="4" t="s">
        <v>36</v>
      </c>
      <c r="I190" s="4" t="s">
        <v>422</v>
      </c>
      <c r="J190" s="4" t="s">
        <v>40</v>
      </c>
      <c r="K190" s="5"/>
      <c r="L190" s="5"/>
      <c r="M190" s="19" t="s">
        <v>423</v>
      </c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 t="str">
        <f t="shared" si="3"/>
        <v/>
      </c>
      <c r="AB190" s="5"/>
      <c r="AC190" s="4" t="s">
        <v>35</v>
      </c>
      <c r="AD190" s="7"/>
    </row>
    <row r="191" hidden="1">
      <c r="A191" s="8" t="s">
        <v>280</v>
      </c>
      <c r="B191" s="9"/>
      <c r="C191" s="8" t="s">
        <v>31</v>
      </c>
      <c r="D191" s="10">
        <v>44709.749128194446</v>
      </c>
      <c r="E191" s="8" t="s">
        <v>424</v>
      </c>
      <c r="F191" s="8">
        <v>1000.0</v>
      </c>
      <c r="G191" s="8"/>
      <c r="H191" s="8" t="s">
        <v>57</v>
      </c>
      <c r="I191" s="8" t="s">
        <v>425</v>
      </c>
      <c r="J191" s="8" t="s">
        <v>40</v>
      </c>
      <c r="K191" s="9"/>
      <c r="L191" s="8" t="s">
        <v>426</v>
      </c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 t="str">
        <f t="shared" si="3"/>
        <v/>
      </c>
      <c r="AB191" s="9"/>
      <c r="AC191" s="8" t="s">
        <v>35</v>
      </c>
      <c r="AD191" s="11"/>
    </row>
    <row r="192" hidden="1">
      <c r="A192" s="5"/>
      <c r="B192" s="5"/>
      <c r="C192" s="4" t="s">
        <v>31</v>
      </c>
      <c r="D192" s="6">
        <v>44709.76279710648</v>
      </c>
      <c r="E192" s="4" t="s">
        <v>99</v>
      </c>
      <c r="F192" s="4">
        <v>2000.0</v>
      </c>
      <c r="G192" s="4"/>
      <c r="H192" s="4" t="s">
        <v>100</v>
      </c>
      <c r="I192" s="5"/>
      <c r="J192" s="4" t="s">
        <v>52</v>
      </c>
      <c r="K192" s="4" t="s">
        <v>427</v>
      </c>
      <c r="L192" s="4" t="s">
        <v>428</v>
      </c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 t="str">
        <f t="shared" si="3"/>
        <v/>
      </c>
      <c r="AB192" s="5"/>
      <c r="AC192" s="4" t="s">
        <v>35</v>
      </c>
      <c r="AD192" s="7"/>
    </row>
    <row r="193" hidden="1">
      <c r="A193" s="8" t="s">
        <v>280</v>
      </c>
      <c r="B193" s="9"/>
      <c r="C193" s="8" t="s">
        <v>31</v>
      </c>
      <c r="D193" s="10">
        <v>44709.77127615741</v>
      </c>
      <c r="E193" s="8" t="s">
        <v>99</v>
      </c>
      <c r="F193" s="8">
        <v>1000.0</v>
      </c>
      <c r="G193" s="8"/>
      <c r="H193" s="8" t="s">
        <v>33</v>
      </c>
      <c r="I193" s="9"/>
      <c r="J193" s="8" t="s">
        <v>40</v>
      </c>
      <c r="K193" s="9"/>
      <c r="L193" s="8" t="s">
        <v>429</v>
      </c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 t="str">
        <f t="shared" si="3"/>
        <v/>
      </c>
      <c r="AB193" s="9"/>
      <c r="AC193" s="8" t="s">
        <v>35</v>
      </c>
      <c r="AD193" s="11"/>
    </row>
    <row r="194" hidden="1">
      <c r="A194" s="4" t="s">
        <v>280</v>
      </c>
      <c r="B194" s="5"/>
      <c r="C194" s="4" t="s">
        <v>31</v>
      </c>
      <c r="D194" s="6">
        <v>44709.77203868056</v>
      </c>
      <c r="E194" s="4" t="s">
        <v>430</v>
      </c>
      <c r="F194" s="4">
        <v>660.0</v>
      </c>
      <c r="G194" s="4"/>
      <c r="H194" s="4" t="s">
        <v>33</v>
      </c>
      <c r="I194" s="5"/>
      <c r="J194" s="4" t="s">
        <v>40</v>
      </c>
      <c r="K194" s="5"/>
      <c r="L194" s="4" t="s">
        <v>431</v>
      </c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 t="str">
        <f t="shared" si="3"/>
        <v/>
      </c>
      <c r="AB194" s="5"/>
      <c r="AC194" s="4" t="s">
        <v>35</v>
      </c>
      <c r="AD194" s="7"/>
    </row>
    <row r="195" hidden="1">
      <c r="A195" s="8" t="s">
        <v>280</v>
      </c>
      <c r="B195" s="9"/>
      <c r="C195" s="8" t="s">
        <v>31</v>
      </c>
      <c r="D195" s="10">
        <v>44709.77494444445</v>
      </c>
      <c r="E195" s="8" t="s">
        <v>99</v>
      </c>
      <c r="F195" s="8">
        <v>2100.0</v>
      </c>
      <c r="G195" s="8"/>
      <c r="H195" s="8" t="s">
        <v>48</v>
      </c>
      <c r="I195" s="8" t="s">
        <v>432</v>
      </c>
      <c r="J195" s="8" t="s">
        <v>52</v>
      </c>
      <c r="K195" s="9"/>
      <c r="L195" s="8" t="s">
        <v>433</v>
      </c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 t="str">
        <f t="shared" si="3"/>
        <v/>
      </c>
      <c r="AB195" s="9"/>
      <c r="AC195" s="8" t="s">
        <v>35</v>
      </c>
      <c r="AD195" s="11"/>
    </row>
    <row r="196" hidden="1">
      <c r="A196" s="5"/>
      <c r="B196" s="5"/>
      <c r="C196" s="4" t="s">
        <v>31</v>
      </c>
      <c r="D196" s="6">
        <v>44709.797198726854</v>
      </c>
      <c r="E196" s="4" t="s">
        <v>99</v>
      </c>
      <c r="F196" s="4">
        <v>2800.0</v>
      </c>
      <c r="G196" s="4"/>
      <c r="H196" s="4" t="s">
        <v>79</v>
      </c>
      <c r="I196" s="5"/>
      <c r="J196" s="4" t="s">
        <v>52</v>
      </c>
      <c r="K196" s="5"/>
      <c r="L196" s="4" t="s">
        <v>434</v>
      </c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 t="str">
        <f t="shared" si="3"/>
        <v/>
      </c>
      <c r="AB196" s="5"/>
      <c r="AC196" s="4" t="s">
        <v>35</v>
      </c>
      <c r="AD196" s="7"/>
    </row>
    <row r="197" hidden="1">
      <c r="A197" s="9"/>
      <c r="B197" s="9"/>
      <c r="C197" s="8" t="s">
        <v>31</v>
      </c>
      <c r="D197" s="10">
        <v>44710.85187210648</v>
      </c>
      <c r="E197" s="8" t="s">
        <v>32</v>
      </c>
      <c r="F197" s="21">
        <f>241.7+232.65</f>
        <v>474.35</v>
      </c>
      <c r="G197" s="8" t="s">
        <v>30</v>
      </c>
      <c r="H197" s="8" t="s">
        <v>200</v>
      </c>
      <c r="I197" s="8" t="s">
        <v>435</v>
      </c>
      <c r="J197" s="8" t="s">
        <v>52</v>
      </c>
      <c r="K197" s="9"/>
      <c r="L197" s="9"/>
      <c r="M197" s="8" t="s">
        <v>436</v>
      </c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 t="str">
        <f t="shared" si="3"/>
        <v/>
      </c>
      <c r="AB197" s="9"/>
      <c r="AC197" s="8" t="s">
        <v>35</v>
      </c>
      <c r="AD197" s="11"/>
    </row>
    <row r="198" hidden="1">
      <c r="A198" s="5"/>
      <c r="B198" s="5"/>
      <c r="C198" s="4" t="s">
        <v>31</v>
      </c>
      <c r="D198" s="6">
        <v>44710.85372784722</v>
      </c>
      <c r="E198" s="4" t="s">
        <v>32</v>
      </c>
      <c r="F198" s="22">
        <v>1400.0</v>
      </c>
      <c r="G198" s="4" t="s">
        <v>30</v>
      </c>
      <c r="H198" s="4" t="s">
        <v>51</v>
      </c>
      <c r="I198" s="5"/>
      <c r="J198" s="4" t="s">
        <v>52</v>
      </c>
      <c r="K198" s="4" t="s">
        <v>437</v>
      </c>
      <c r="L198" s="5"/>
      <c r="M198" s="14" t="s">
        <v>438</v>
      </c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 t="str">
        <f t="shared" si="3"/>
        <v/>
      </c>
      <c r="AB198" s="5"/>
      <c r="AC198" s="4" t="s">
        <v>35</v>
      </c>
      <c r="AD198" s="7"/>
    </row>
    <row r="199">
      <c r="A199" s="9"/>
      <c r="B199" s="9"/>
      <c r="C199" s="8" t="s">
        <v>31</v>
      </c>
      <c r="D199" s="10">
        <v>44710.85467804398</v>
      </c>
      <c r="E199" s="8" t="s">
        <v>32</v>
      </c>
      <c r="F199" s="21">
        <f>3000</f>
        <v>3000</v>
      </c>
      <c r="G199" s="8" t="s">
        <v>30</v>
      </c>
      <c r="H199" s="8" t="s">
        <v>39</v>
      </c>
      <c r="I199" s="8" t="s">
        <v>439</v>
      </c>
      <c r="J199" s="8" t="s">
        <v>171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 t="str">
        <f t="shared" si="3"/>
        <v/>
      </c>
      <c r="AB199" s="9"/>
      <c r="AC199" s="8" t="s">
        <v>35</v>
      </c>
      <c r="AD199" s="11"/>
    </row>
    <row r="200">
      <c r="A200" s="4" t="s">
        <v>440</v>
      </c>
      <c r="B200" s="5"/>
      <c r="C200" s="4" t="s">
        <v>31</v>
      </c>
      <c r="D200" s="6">
        <v>44710.85467804398</v>
      </c>
      <c r="E200" s="4" t="s">
        <v>32</v>
      </c>
      <c r="F200" s="22">
        <v>500.0</v>
      </c>
      <c r="G200" s="4" t="s">
        <v>30</v>
      </c>
      <c r="H200" s="4" t="s">
        <v>39</v>
      </c>
      <c r="I200" s="4" t="s">
        <v>439</v>
      </c>
      <c r="J200" s="4" t="s">
        <v>34</v>
      </c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 t="str">
        <f t="shared" si="3"/>
        <v/>
      </c>
      <c r="AB200" s="5"/>
      <c r="AC200" s="4" t="s">
        <v>35</v>
      </c>
      <c r="AD200" s="7"/>
    </row>
    <row r="201" hidden="1">
      <c r="A201" s="8" t="s">
        <v>440</v>
      </c>
      <c r="B201" s="9"/>
      <c r="C201" s="8" t="s">
        <v>31</v>
      </c>
      <c r="D201" s="10">
        <v>44710.85605700231</v>
      </c>
      <c r="E201" s="8" t="s">
        <v>32</v>
      </c>
      <c r="F201" s="21">
        <v>200.0</v>
      </c>
      <c r="G201" s="8" t="s">
        <v>30</v>
      </c>
      <c r="H201" s="8" t="s">
        <v>231</v>
      </c>
      <c r="I201" s="8" t="s">
        <v>441</v>
      </c>
      <c r="J201" s="8" t="s">
        <v>34</v>
      </c>
      <c r="K201" s="8" t="s">
        <v>442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 t="str">
        <f t="shared" si="3"/>
        <v/>
      </c>
      <c r="AB201" s="9"/>
      <c r="AC201" s="8" t="s">
        <v>35</v>
      </c>
      <c r="AD201" s="11"/>
    </row>
    <row r="202" hidden="1">
      <c r="A202" s="5"/>
      <c r="B202" s="5"/>
      <c r="C202" s="4" t="s">
        <v>31</v>
      </c>
      <c r="D202" s="6">
        <v>44710.85605700231</v>
      </c>
      <c r="E202" s="4" t="s">
        <v>32</v>
      </c>
      <c r="F202" s="22">
        <v>250.0</v>
      </c>
      <c r="G202" s="4" t="s">
        <v>30</v>
      </c>
      <c r="H202" s="4" t="s">
        <v>231</v>
      </c>
      <c r="I202" s="4" t="s">
        <v>441</v>
      </c>
      <c r="J202" s="4" t="s">
        <v>52</v>
      </c>
      <c r="K202" s="4" t="s">
        <v>442</v>
      </c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 t="str">
        <f t="shared" si="3"/>
        <v/>
      </c>
      <c r="AB202" s="5"/>
      <c r="AC202" s="4" t="s">
        <v>35</v>
      </c>
      <c r="AD202" s="7"/>
    </row>
    <row r="203" hidden="1">
      <c r="A203" s="9"/>
      <c r="B203" s="9"/>
      <c r="C203" s="8" t="s">
        <v>31</v>
      </c>
      <c r="D203" s="10">
        <v>44710.8567884838</v>
      </c>
      <c r="E203" s="8" t="s">
        <v>32</v>
      </c>
      <c r="F203" s="21">
        <v>500.0</v>
      </c>
      <c r="G203" s="8" t="s">
        <v>30</v>
      </c>
      <c r="H203" s="8" t="s">
        <v>57</v>
      </c>
      <c r="I203" s="8" t="s">
        <v>443</v>
      </c>
      <c r="J203" s="8" t="s">
        <v>52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 t="str">
        <f t="shared" si="3"/>
        <v/>
      </c>
      <c r="AB203" s="9"/>
      <c r="AC203" s="8" t="s">
        <v>35</v>
      </c>
      <c r="AD203" s="11"/>
    </row>
    <row r="204" hidden="1">
      <c r="A204" s="5"/>
      <c r="B204" s="5"/>
      <c r="C204" s="4" t="s">
        <v>31</v>
      </c>
      <c r="D204" s="6">
        <v>44710.85845196759</v>
      </c>
      <c r="E204" s="4" t="s">
        <v>32</v>
      </c>
      <c r="F204" s="22">
        <v>500.0</v>
      </c>
      <c r="G204" s="4" t="s">
        <v>30</v>
      </c>
      <c r="H204" s="4" t="s">
        <v>85</v>
      </c>
      <c r="I204" s="4" t="s">
        <v>444</v>
      </c>
      <c r="J204" s="4" t="s">
        <v>52</v>
      </c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 t="str">
        <f t="shared" si="3"/>
        <v/>
      </c>
      <c r="AB204" s="5"/>
      <c r="AC204" s="4" t="s">
        <v>35</v>
      </c>
      <c r="AD204" s="7"/>
    </row>
    <row r="205" hidden="1">
      <c r="A205" s="8" t="s">
        <v>440</v>
      </c>
      <c r="B205" s="9"/>
      <c r="C205" s="8" t="s">
        <v>31</v>
      </c>
      <c r="D205" s="10">
        <v>44711.02069520833</v>
      </c>
      <c r="E205" s="8" t="s">
        <v>32</v>
      </c>
      <c r="F205" s="21">
        <v>200.0</v>
      </c>
      <c r="G205" s="8"/>
      <c r="H205" s="8" t="s">
        <v>85</v>
      </c>
      <c r="I205" s="8" t="s">
        <v>445</v>
      </c>
      <c r="J205" s="8" t="s">
        <v>34</v>
      </c>
      <c r="K205" s="8" t="s">
        <v>446</v>
      </c>
      <c r="L205" s="8" t="s">
        <v>447</v>
      </c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 t="str">
        <f t="shared" si="3"/>
        <v/>
      </c>
      <c r="AB205" s="9"/>
      <c r="AC205" s="8" t="s">
        <v>35</v>
      </c>
      <c r="AD205" s="11"/>
    </row>
    <row r="206" hidden="1">
      <c r="A206" s="5"/>
      <c r="B206" s="5"/>
      <c r="C206" s="4" t="s">
        <v>283</v>
      </c>
      <c r="D206" s="6">
        <v>44715.00278664352</v>
      </c>
      <c r="E206" s="5"/>
      <c r="F206" s="5"/>
      <c r="G206" s="5"/>
      <c r="H206" s="5"/>
      <c r="I206" s="5"/>
      <c r="J206" s="5"/>
      <c r="K206" s="5"/>
      <c r="L206" s="5"/>
      <c r="M206" s="5"/>
      <c r="N206" s="4" t="s">
        <v>52</v>
      </c>
      <c r="O206" s="4">
        <v>250.0</v>
      </c>
      <c r="P206" s="4" t="s">
        <v>231</v>
      </c>
      <c r="Q206" s="5"/>
      <c r="R206" s="4" t="s">
        <v>448</v>
      </c>
      <c r="S206" s="4" t="s">
        <v>449</v>
      </c>
      <c r="T206" s="5"/>
      <c r="U206" s="5"/>
      <c r="V206" s="5"/>
      <c r="W206" s="5"/>
      <c r="X206" s="5"/>
      <c r="Y206" s="5"/>
      <c r="Z206" s="5"/>
      <c r="AA206" s="5" t="str">
        <f t="shared" si="3"/>
        <v/>
      </c>
      <c r="AB206" s="5"/>
      <c r="AC206" s="4" t="s">
        <v>35</v>
      </c>
      <c r="AD206" s="7"/>
    </row>
    <row r="207" hidden="1">
      <c r="A207" s="9"/>
      <c r="B207" s="9"/>
      <c r="C207" s="8" t="s">
        <v>283</v>
      </c>
      <c r="D207" s="10">
        <v>44715.00348216435</v>
      </c>
      <c r="E207" s="9"/>
      <c r="F207" s="9"/>
      <c r="G207" s="9"/>
      <c r="H207" s="9"/>
      <c r="I207" s="9"/>
      <c r="J207" s="9"/>
      <c r="K207" s="9"/>
      <c r="L207" s="9"/>
      <c r="M207" s="9"/>
      <c r="N207" s="8" t="s">
        <v>52</v>
      </c>
      <c r="O207" s="8">
        <v>474.0</v>
      </c>
      <c r="P207" s="8" t="s">
        <v>200</v>
      </c>
      <c r="Q207" s="9"/>
      <c r="R207" s="9"/>
      <c r="S207" s="8" t="s">
        <v>450</v>
      </c>
      <c r="T207" s="9"/>
      <c r="U207" s="9"/>
      <c r="V207" s="9"/>
      <c r="W207" s="9"/>
      <c r="X207" s="9"/>
      <c r="Y207" s="9"/>
      <c r="Z207" s="9"/>
      <c r="AA207" s="9" t="str">
        <f t="shared" si="3"/>
        <v/>
      </c>
      <c r="AB207" s="9"/>
      <c r="AC207" s="8" t="s">
        <v>35</v>
      </c>
      <c r="AD207" s="11"/>
    </row>
    <row r="208" hidden="1">
      <c r="A208" s="5"/>
      <c r="B208" s="5"/>
      <c r="C208" s="4" t="s">
        <v>283</v>
      </c>
      <c r="D208" s="6">
        <v>44715.01240665509</v>
      </c>
      <c r="E208" s="5"/>
      <c r="F208" s="5"/>
      <c r="G208" s="5"/>
      <c r="H208" s="5"/>
      <c r="I208" s="5"/>
      <c r="J208" s="5"/>
      <c r="K208" s="5"/>
      <c r="L208" s="5"/>
      <c r="M208" s="5"/>
      <c r="N208" s="4" t="s">
        <v>52</v>
      </c>
      <c r="O208" s="4">
        <v>1400.0</v>
      </c>
      <c r="P208" s="4" t="s">
        <v>51</v>
      </c>
      <c r="Q208" s="5"/>
      <c r="R208" s="5"/>
      <c r="S208" s="4" t="s">
        <v>451</v>
      </c>
      <c r="T208" s="5"/>
      <c r="U208" s="5"/>
      <c r="V208" s="5"/>
      <c r="W208" s="5"/>
      <c r="X208" s="5"/>
      <c r="Y208" s="5"/>
      <c r="Z208" s="5"/>
      <c r="AA208" s="5" t="str">
        <f t="shared" si="3"/>
        <v/>
      </c>
      <c r="AB208" s="5"/>
      <c r="AC208" s="4" t="s">
        <v>35</v>
      </c>
      <c r="AD208" s="7"/>
    </row>
    <row r="209" hidden="1">
      <c r="A209" s="8" t="s">
        <v>280</v>
      </c>
      <c r="B209" s="9"/>
      <c r="C209" s="8" t="s">
        <v>208</v>
      </c>
      <c r="D209" s="10">
        <v>44715.81010619213</v>
      </c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8" t="s">
        <v>99</v>
      </c>
      <c r="V209" s="8" t="s">
        <v>32</v>
      </c>
      <c r="W209" s="8">
        <v>4000.0</v>
      </c>
      <c r="X209" s="8"/>
      <c r="Y209" s="8" t="s">
        <v>212</v>
      </c>
      <c r="Z209" s="8">
        <v>3.22</v>
      </c>
      <c r="AA209" s="9">
        <f t="shared" si="3"/>
        <v>12880</v>
      </c>
      <c r="AB209" s="8" t="s">
        <v>452</v>
      </c>
      <c r="AC209" s="8" t="s">
        <v>35</v>
      </c>
      <c r="AD209" s="11"/>
    </row>
    <row r="210" hidden="1">
      <c r="A210" s="4" t="s">
        <v>280</v>
      </c>
      <c r="B210" s="5"/>
      <c r="C210" s="4" t="s">
        <v>208</v>
      </c>
      <c r="D210" s="6">
        <v>44715.811217511575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4" t="s">
        <v>99</v>
      </c>
      <c r="V210" s="4" t="s">
        <v>32</v>
      </c>
      <c r="W210" s="4">
        <v>4000.0</v>
      </c>
      <c r="X210" s="4"/>
      <c r="Y210" s="4" t="s">
        <v>209</v>
      </c>
      <c r="Z210" s="5"/>
      <c r="AA210" s="5">
        <f t="shared" si="3"/>
        <v>4000</v>
      </c>
      <c r="AB210" s="4" t="s">
        <v>453</v>
      </c>
      <c r="AC210" s="4" t="s">
        <v>35</v>
      </c>
      <c r="AD210" s="7"/>
    </row>
    <row r="211" hidden="1">
      <c r="A211" s="8" t="s">
        <v>280</v>
      </c>
      <c r="B211" s="9"/>
      <c r="C211" s="8" t="s">
        <v>208</v>
      </c>
      <c r="D211" s="10">
        <v>44715.81345858796</v>
      </c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8" t="s">
        <v>99</v>
      </c>
      <c r="V211" s="8" t="s">
        <v>32</v>
      </c>
      <c r="W211" s="8">
        <v>6500.0</v>
      </c>
      <c r="X211" s="8"/>
      <c r="Y211" s="8" t="s">
        <v>209</v>
      </c>
      <c r="Z211" s="9"/>
      <c r="AA211" s="9">
        <f t="shared" si="3"/>
        <v>6500</v>
      </c>
      <c r="AB211" s="8" t="s">
        <v>454</v>
      </c>
      <c r="AC211" s="8" t="s">
        <v>35</v>
      </c>
      <c r="AD211" s="11"/>
    </row>
    <row r="212" hidden="1">
      <c r="A212" s="4" t="s">
        <v>280</v>
      </c>
      <c r="B212" s="5"/>
      <c r="C212" s="4" t="s">
        <v>208</v>
      </c>
      <c r="D212" s="6">
        <v>44715.81824508102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4" t="s">
        <v>80</v>
      </c>
      <c r="V212" s="4" t="s">
        <v>32</v>
      </c>
      <c r="W212" s="4">
        <v>168424.0</v>
      </c>
      <c r="X212" s="4"/>
      <c r="Y212" s="4" t="s">
        <v>209</v>
      </c>
      <c r="Z212" s="5"/>
      <c r="AA212" s="5">
        <f t="shared" si="3"/>
        <v>168424</v>
      </c>
      <c r="AB212" s="4" t="s">
        <v>455</v>
      </c>
      <c r="AC212" s="4" t="s">
        <v>35</v>
      </c>
      <c r="AD212" s="19" t="s">
        <v>215</v>
      </c>
    </row>
    <row r="213" hidden="1">
      <c r="A213" s="9"/>
      <c r="B213" s="9"/>
      <c r="C213" s="8" t="s">
        <v>208</v>
      </c>
      <c r="D213" s="10">
        <v>44716.847820462965</v>
      </c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8" t="s">
        <v>99</v>
      </c>
      <c r="V213" s="8" t="s">
        <v>32</v>
      </c>
      <c r="W213" s="8">
        <v>3200.0</v>
      </c>
      <c r="X213" s="8" t="s">
        <v>30</v>
      </c>
      <c r="Y213" s="8" t="s">
        <v>209</v>
      </c>
      <c r="Z213" s="9"/>
      <c r="AA213" s="9">
        <f t="shared" si="3"/>
        <v>3200</v>
      </c>
      <c r="AB213" s="8" t="s">
        <v>456</v>
      </c>
      <c r="AC213" s="8" t="s">
        <v>35</v>
      </c>
      <c r="AD213" s="9"/>
    </row>
    <row r="214" hidden="1">
      <c r="A214" s="5"/>
      <c r="B214" s="5"/>
      <c r="C214" s="4" t="s">
        <v>208</v>
      </c>
      <c r="D214" s="6">
        <v>44716.850465173615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4" t="s">
        <v>99</v>
      </c>
      <c r="V214" s="4" t="s">
        <v>32</v>
      </c>
      <c r="W214" s="4">
        <v>2000.0</v>
      </c>
      <c r="X214" s="4" t="s">
        <v>30</v>
      </c>
      <c r="Y214" s="4" t="s">
        <v>209</v>
      </c>
      <c r="Z214" s="5"/>
      <c r="AA214" s="5">
        <f t="shared" si="3"/>
        <v>2000</v>
      </c>
      <c r="AB214" s="4" t="s">
        <v>457</v>
      </c>
      <c r="AC214" s="4" t="s">
        <v>35</v>
      </c>
      <c r="AD214" s="5"/>
    </row>
    <row r="215" hidden="1">
      <c r="A215" s="9"/>
      <c r="B215" s="9"/>
      <c r="C215" s="8" t="s">
        <v>31</v>
      </c>
      <c r="D215" s="10">
        <v>44716.853014004635</v>
      </c>
      <c r="E215" s="8" t="s">
        <v>32</v>
      </c>
      <c r="F215" s="21">
        <v>73.2</v>
      </c>
      <c r="G215" s="8" t="s">
        <v>30</v>
      </c>
      <c r="H215" s="8" t="s">
        <v>36</v>
      </c>
      <c r="I215" s="8" t="s">
        <v>266</v>
      </c>
      <c r="J215" s="8" t="s">
        <v>52</v>
      </c>
      <c r="K215" s="8" t="s">
        <v>458</v>
      </c>
      <c r="L215" s="8" t="s">
        <v>459</v>
      </c>
      <c r="M215" s="12" t="s">
        <v>460</v>
      </c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 t="str">
        <f t="shared" si="3"/>
        <v/>
      </c>
      <c r="AB215" s="9"/>
      <c r="AC215" s="8" t="s">
        <v>35</v>
      </c>
      <c r="AD215" s="9"/>
    </row>
    <row r="216">
      <c r="A216" s="4" t="s">
        <v>440</v>
      </c>
      <c r="B216" s="5"/>
      <c r="C216" s="4" t="s">
        <v>31</v>
      </c>
      <c r="D216" s="6">
        <v>44716.89211267361</v>
      </c>
      <c r="E216" s="4" t="s">
        <v>32</v>
      </c>
      <c r="F216" s="22">
        <v>3000.0</v>
      </c>
      <c r="G216" s="4" t="s">
        <v>30</v>
      </c>
      <c r="H216" s="4" t="s">
        <v>39</v>
      </c>
      <c r="I216" s="4" t="s">
        <v>184</v>
      </c>
      <c r="J216" s="4" t="s">
        <v>34</v>
      </c>
      <c r="K216" s="4" t="s">
        <v>461</v>
      </c>
      <c r="L216" s="4" t="s">
        <v>462</v>
      </c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 t="str">
        <f t="shared" si="3"/>
        <v/>
      </c>
      <c r="AB216" s="5"/>
      <c r="AC216" s="4" t="s">
        <v>35</v>
      </c>
      <c r="AD216" s="5"/>
    </row>
    <row r="217" hidden="1">
      <c r="A217" s="9"/>
      <c r="B217" s="9"/>
      <c r="C217" s="8" t="s">
        <v>208</v>
      </c>
      <c r="D217" s="10">
        <v>44716.97725277778</v>
      </c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8" t="s">
        <v>99</v>
      </c>
      <c r="V217" s="8" t="s">
        <v>32</v>
      </c>
      <c r="W217" s="8">
        <v>1700.0</v>
      </c>
      <c r="X217" s="8" t="s">
        <v>30</v>
      </c>
      <c r="Y217" s="8" t="s">
        <v>209</v>
      </c>
      <c r="Z217" s="9"/>
      <c r="AA217" s="9">
        <f t="shared" si="3"/>
        <v>1700</v>
      </c>
      <c r="AB217" s="8" t="s">
        <v>463</v>
      </c>
      <c r="AC217" s="8" t="s">
        <v>35</v>
      </c>
      <c r="AD217" s="9"/>
    </row>
    <row r="218">
      <c r="A218" s="4" t="s">
        <v>440</v>
      </c>
      <c r="B218" s="5"/>
      <c r="C218" s="4" t="s">
        <v>31</v>
      </c>
      <c r="D218" s="6">
        <v>44716.979475451386</v>
      </c>
      <c r="E218" s="4" t="s">
        <v>32</v>
      </c>
      <c r="F218" s="22">
        <v>1700.0</v>
      </c>
      <c r="G218" s="4" t="s">
        <v>30</v>
      </c>
      <c r="H218" s="4" t="s">
        <v>39</v>
      </c>
      <c r="I218" s="5"/>
      <c r="J218" s="4" t="s">
        <v>34</v>
      </c>
      <c r="K218" s="5"/>
      <c r="L218" s="4" t="s">
        <v>464</v>
      </c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 t="str">
        <f t="shared" si="3"/>
        <v/>
      </c>
      <c r="AB218" s="5"/>
      <c r="AC218" s="4" t="s">
        <v>35</v>
      </c>
      <c r="AD218" s="5"/>
    </row>
    <row r="219">
      <c r="A219" s="8" t="s">
        <v>440</v>
      </c>
      <c r="B219" s="9"/>
      <c r="C219" s="8" t="s">
        <v>31</v>
      </c>
      <c r="D219" s="10">
        <v>44716.98398716435</v>
      </c>
      <c r="E219" s="8" t="s">
        <v>32</v>
      </c>
      <c r="F219" s="21">
        <v>-700.0</v>
      </c>
      <c r="G219" s="8"/>
      <c r="H219" s="8" t="s">
        <v>39</v>
      </c>
      <c r="I219" s="9"/>
      <c r="J219" s="8" t="s">
        <v>34</v>
      </c>
      <c r="K219" s="9"/>
      <c r="L219" s="8" t="s">
        <v>465</v>
      </c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 t="str">
        <f t="shared" si="3"/>
        <v/>
      </c>
      <c r="AB219" s="9"/>
      <c r="AC219" s="8" t="s">
        <v>35</v>
      </c>
      <c r="AD219" s="9"/>
    </row>
    <row r="220">
      <c r="A220" s="4"/>
      <c r="B220" s="5"/>
      <c r="C220" s="4" t="s">
        <v>31</v>
      </c>
      <c r="D220" s="6">
        <v>44716.984312789355</v>
      </c>
      <c r="E220" s="4" t="s">
        <v>32</v>
      </c>
      <c r="F220" s="22">
        <v>700.0</v>
      </c>
      <c r="G220" s="4"/>
      <c r="H220" s="4" t="s">
        <v>39</v>
      </c>
      <c r="I220" s="5"/>
      <c r="J220" s="4" t="s">
        <v>171</v>
      </c>
      <c r="K220" s="5"/>
      <c r="L220" s="4" t="s">
        <v>465</v>
      </c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 t="str">
        <f t="shared" si="3"/>
        <v/>
      </c>
      <c r="AB220" s="5"/>
      <c r="AC220" s="4" t="s">
        <v>35</v>
      </c>
      <c r="AD220" s="5"/>
    </row>
    <row r="221" hidden="1">
      <c r="A221" s="9"/>
      <c r="B221" s="9"/>
      <c r="C221" s="8" t="s">
        <v>283</v>
      </c>
      <c r="D221" s="10">
        <v>44717.526687881946</v>
      </c>
      <c r="E221" s="9"/>
      <c r="F221" s="9"/>
      <c r="G221" s="9"/>
      <c r="H221" s="9"/>
      <c r="I221" s="9"/>
      <c r="J221" s="9"/>
      <c r="K221" s="9"/>
      <c r="L221" s="9"/>
      <c r="M221" s="9"/>
      <c r="N221" s="8" t="s">
        <v>52</v>
      </c>
      <c r="O221" s="8">
        <v>73.0</v>
      </c>
      <c r="P221" s="8" t="s">
        <v>36</v>
      </c>
      <c r="Q221" s="9"/>
      <c r="R221" s="9"/>
      <c r="S221" s="8" t="s">
        <v>466</v>
      </c>
      <c r="T221" s="9"/>
      <c r="U221" s="9"/>
      <c r="V221" s="9"/>
      <c r="W221" s="9"/>
      <c r="X221" s="9"/>
      <c r="Y221" s="9"/>
      <c r="Z221" s="9"/>
      <c r="AA221" s="9" t="str">
        <f t="shared" si="3"/>
        <v/>
      </c>
      <c r="AB221" s="9"/>
      <c r="AC221" s="8" t="s">
        <v>35</v>
      </c>
      <c r="AD221" s="9"/>
    </row>
    <row r="222" hidden="1">
      <c r="A222" s="5"/>
      <c r="B222" s="5"/>
      <c r="C222" s="4" t="s">
        <v>283</v>
      </c>
      <c r="D222" s="6">
        <v>44717.528418726855</v>
      </c>
      <c r="E222" s="5"/>
      <c r="F222" s="5"/>
      <c r="G222" s="5"/>
      <c r="H222" s="5"/>
      <c r="I222" s="5"/>
      <c r="J222" s="5"/>
      <c r="K222" s="5"/>
      <c r="L222" s="5"/>
      <c r="M222" s="5"/>
      <c r="N222" s="4" t="s">
        <v>171</v>
      </c>
      <c r="O222" s="4">
        <v>0.0</v>
      </c>
      <c r="P222" s="4" t="s">
        <v>39</v>
      </c>
      <c r="Q222" s="5"/>
      <c r="R222" s="5"/>
      <c r="S222" s="4" t="s">
        <v>467</v>
      </c>
      <c r="T222" s="5"/>
      <c r="U222" s="5"/>
      <c r="V222" s="5"/>
      <c r="W222" s="5"/>
      <c r="X222" s="5"/>
      <c r="Y222" s="5"/>
      <c r="Z222" s="5"/>
      <c r="AA222" s="5" t="str">
        <f t="shared" si="3"/>
        <v/>
      </c>
      <c r="AB222" s="5"/>
      <c r="AC222" s="4" t="s">
        <v>35</v>
      </c>
      <c r="AD222" s="5"/>
    </row>
    <row r="223" hidden="1">
      <c r="A223" s="9"/>
      <c r="B223" s="9"/>
      <c r="C223" s="8" t="s">
        <v>283</v>
      </c>
      <c r="D223" s="10">
        <v>44717.52948751157</v>
      </c>
      <c r="E223" s="9"/>
      <c r="F223" s="9"/>
      <c r="G223" s="9"/>
      <c r="H223" s="9"/>
      <c r="I223" s="9"/>
      <c r="J223" s="9"/>
      <c r="K223" s="9"/>
      <c r="L223" s="9"/>
      <c r="M223" s="9"/>
      <c r="N223" s="8" t="s">
        <v>171</v>
      </c>
      <c r="O223" s="8">
        <v>18479.0</v>
      </c>
      <c r="P223" s="8" t="s">
        <v>36</v>
      </c>
      <c r="Q223" s="9"/>
      <c r="R223" s="9"/>
      <c r="S223" s="8" t="s">
        <v>468</v>
      </c>
      <c r="T223" s="9"/>
      <c r="U223" s="9"/>
      <c r="V223" s="9"/>
      <c r="W223" s="9"/>
      <c r="X223" s="9"/>
      <c r="Y223" s="9"/>
      <c r="Z223" s="9"/>
      <c r="AA223" s="9" t="str">
        <f t="shared" si="3"/>
        <v/>
      </c>
      <c r="AB223" s="9"/>
      <c r="AC223" s="8" t="s">
        <v>35</v>
      </c>
      <c r="AD223" s="9"/>
    </row>
    <row r="224" hidden="1">
      <c r="A224" s="5"/>
      <c r="B224" s="5"/>
      <c r="C224" s="4" t="s">
        <v>283</v>
      </c>
      <c r="D224" s="6">
        <v>44717.53023047454</v>
      </c>
      <c r="E224" s="5"/>
      <c r="F224" s="5"/>
      <c r="G224" s="5"/>
      <c r="H224" s="5"/>
      <c r="I224" s="5"/>
      <c r="J224" s="5"/>
      <c r="K224" s="5"/>
      <c r="L224" s="5"/>
      <c r="M224" s="5"/>
      <c r="N224" s="4" t="s">
        <v>171</v>
      </c>
      <c r="O224" s="4">
        <v>3412.0</v>
      </c>
      <c r="P224" s="4" t="s">
        <v>57</v>
      </c>
      <c r="Q224" s="5"/>
      <c r="R224" s="5"/>
      <c r="S224" s="4" t="s">
        <v>469</v>
      </c>
      <c r="T224" s="5"/>
      <c r="U224" s="5"/>
      <c r="V224" s="5"/>
      <c r="W224" s="5"/>
      <c r="X224" s="5"/>
      <c r="Y224" s="5"/>
      <c r="Z224" s="5"/>
      <c r="AA224" s="5" t="str">
        <f t="shared" si="3"/>
        <v/>
      </c>
      <c r="AB224" s="5"/>
      <c r="AC224" s="4" t="s">
        <v>35</v>
      </c>
      <c r="AD224" s="5"/>
    </row>
    <row r="225" hidden="1">
      <c r="A225" s="9"/>
      <c r="B225" s="9"/>
      <c r="C225" s="8" t="s">
        <v>208</v>
      </c>
      <c r="D225" s="10">
        <v>44720.07619096065</v>
      </c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8" t="s">
        <v>99</v>
      </c>
      <c r="V225" s="8" t="s">
        <v>32</v>
      </c>
      <c r="W225" s="8">
        <v>1200.0</v>
      </c>
      <c r="X225" s="8" t="s">
        <v>30</v>
      </c>
      <c r="Y225" s="8" t="s">
        <v>209</v>
      </c>
      <c r="Z225" s="9"/>
      <c r="AA225" s="9">
        <f t="shared" si="3"/>
        <v>1200</v>
      </c>
      <c r="AB225" s="8" t="s">
        <v>470</v>
      </c>
      <c r="AC225" s="8" t="s">
        <v>35</v>
      </c>
      <c r="AD225" s="9"/>
    </row>
    <row r="226" hidden="1">
      <c r="A226" s="5"/>
      <c r="B226" s="5"/>
      <c r="C226" s="4" t="s">
        <v>31</v>
      </c>
      <c r="D226" s="6">
        <v>44720.0875637037</v>
      </c>
      <c r="E226" s="4" t="s">
        <v>32</v>
      </c>
      <c r="F226" s="22">
        <v>500.0</v>
      </c>
      <c r="G226" s="4" t="s">
        <v>30</v>
      </c>
      <c r="H226" s="4" t="s">
        <v>57</v>
      </c>
      <c r="I226" s="4" t="s">
        <v>471</v>
      </c>
      <c r="J226" s="4" t="s">
        <v>52</v>
      </c>
      <c r="K226" s="4" t="s">
        <v>472</v>
      </c>
      <c r="L226" s="4" t="s">
        <v>473</v>
      </c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 t="str">
        <f t="shared" si="3"/>
        <v/>
      </c>
      <c r="AB226" s="5"/>
      <c r="AC226" s="4" t="s">
        <v>35</v>
      </c>
      <c r="AD226" s="5"/>
    </row>
    <row r="227">
      <c r="A227" s="9"/>
      <c r="B227" s="9"/>
      <c r="C227" s="8" t="s">
        <v>31</v>
      </c>
      <c r="D227" s="10">
        <v>44720.08892663194</v>
      </c>
      <c r="E227" s="8" t="s">
        <v>32</v>
      </c>
      <c r="F227" s="21">
        <v>210.0</v>
      </c>
      <c r="G227" s="8" t="s">
        <v>30</v>
      </c>
      <c r="H227" s="8" t="s">
        <v>39</v>
      </c>
      <c r="I227" s="8" t="s">
        <v>474</v>
      </c>
      <c r="J227" s="8" t="s">
        <v>171</v>
      </c>
      <c r="K227" s="8" t="s">
        <v>475</v>
      </c>
      <c r="L227" s="8" t="s">
        <v>476</v>
      </c>
      <c r="M227" s="12" t="s">
        <v>477</v>
      </c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 t="str">
        <f t="shared" si="3"/>
        <v/>
      </c>
      <c r="AB227" s="9"/>
      <c r="AC227" s="8" t="s">
        <v>35</v>
      </c>
      <c r="AD227" s="9"/>
    </row>
    <row r="228" hidden="1">
      <c r="A228" s="5"/>
      <c r="B228" s="5"/>
      <c r="C228" s="4" t="s">
        <v>283</v>
      </c>
      <c r="D228" s="6">
        <v>44720.090344490745</v>
      </c>
      <c r="E228" s="5"/>
      <c r="F228" s="5"/>
      <c r="G228" s="5"/>
      <c r="H228" s="5"/>
      <c r="I228" s="5"/>
      <c r="J228" s="5"/>
      <c r="K228" s="5"/>
      <c r="L228" s="5"/>
      <c r="M228" s="5"/>
      <c r="N228" s="4" t="s">
        <v>52</v>
      </c>
      <c r="O228" s="4">
        <v>550.0</v>
      </c>
      <c r="P228" s="4" t="s">
        <v>48</v>
      </c>
      <c r="Q228" s="4" t="s">
        <v>478</v>
      </c>
      <c r="R228" s="4" t="s">
        <v>479</v>
      </c>
      <c r="S228" s="5"/>
      <c r="T228" s="14" t="s">
        <v>480</v>
      </c>
      <c r="U228" s="5"/>
      <c r="V228" s="5"/>
      <c r="W228" s="5"/>
      <c r="X228" s="5"/>
      <c r="Y228" s="5"/>
      <c r="Z228" s="5"/>
      <c r="AA228" s="5" t="str">
        <f t="shared" si="3"/>
        <v/>
      </c>
      <c r="AB228" s="5"/>
      <c r="AC228" s="4" t="s">
        <v>35</v>
      </c>
      <c r="AD228" s="5"/>
    </row>
    <row r="229" hidden="1">
      <c r="A229" s="9"/>
      <c r="B229" s="9"/>
      <c r="C229" s="8" t="s">
        <v>283</v>
      </c>
      <c r="D229" s="10">
        <v>44720.09506519676</v>
      </c>
      <c r="E229" s="9"/>
      <c r="F229" s="9"/>
      <c r="G229" s="9"/>
      <c r="H229" s="9"/>
      <c r="I229" s="9"/>
      <c r="J229" s="9"/>
      <c r="K229" s="9"/>
      <c r="L229" s="9"/>
      <c r="M229" s="9"/>
      <c r="N229" s="8" t="s">
        <v>171</v>
      </c>
      <c r="O229" s="8">
        <v>11798.0</v>
      </c>
      <c r="P229" s="8" t="s">
        <v>39</v>
      </c>
      <c r="Q229" s="8" t="s">
        <v>481</v>
      </c>
      <c r="R229" s="8" t="s">
        <v>482</v>
      </c>
      <c r="S229" s="8" t="s">
        <v>483</v>
      </c>
      <c r="T229" s="8" t="s">
        <v>484</v>
      </c>
      <c r="U229" s="9"/>
      <c r="V229" s="9"/>
      <c r="W229" s="9"/>
      <c r="X229" s="9"/>
      <c r="Y229" s="9"/>
      <c r="Z229" s="9"/>
      <c r="AA229" s="9" t="str">
        <f t="shared" si="3"/>
        <v/>
      </c>
      <c r="AB229" s="9"/>
      <c r="AC229" s="8" t="s">
        <v>35</v>
      </c>
      <c r="AD229" s="9"/>
    </row>
    <row r="230" hidden="1">
      <c r="A230" s="5"/>
      <c r="B230" s="5"/>
      <c r="C230" s="4" t="s">
        <v>208</v>
      </c>
      <c r="D230" s="6">
        <v>44721.04119366898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4" t="s">
        <v>99</v>
      </c>
      <c r="V230" s="4" t="s">
        <v>32</v>
      </c>
      <c r="W230" s="4">
        <v>3000.0</v>
      </c>
      <c r="X230" s="4" t="s">
        <v>30</v>
      </c>
      <c r="Y230" s="4" t="s">
        <v>212</v>
      </c>
      <c r="Z230" s="4">
        <v>3.29</v>
      </c>
      <c r="AA230" s="5">
        <f t="shared" si="3"/>
        <v>9870</v>
      </c>
      <c r="AB230" s="4" t="s">
        <v>485</v>
      </c>
      <c r="AC230" s="4" t="s">
        <v>35</v>
      </c>
      <c r="AD230" s="5"/>
    </row>
    <row r="231" hidden="1">
      <c r="A231" s="9"/>
      <c r="B231" s="9"/>
      <c r="C231" s="8" t="s">
        <v>208</v>
      </c>
      <c r="D231" s="10">
        <v>44721.04262018518</v>
      </c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8" t="s">
        <v>99</v>
      </c>
      <c r="V231" s="8" t="s">
        <v>32</v>
      </c>
      <c r="W231" s="8">
        <v>490.0</v>
      </c>
      <c r="X231" s="8" t="s">
        <v>30</v>
      </c>
      <c r="Y231" s="8" t="s">
        <v>212</v>
      </c>
      <c r="Z231" s="8">
        <v>3.29</v>
      </c>
      <c r="AA231" s="23">
        <f t="shared" si="3"/>
        <v>1612.1</v>
      </c>
      <c r="AB231" s="8" t="s">
        <v>486</v>
      </c>
      <c r="AC231" s="8" t="s">
        <v>35</v>
      </c>
      <c r="AD231" s="9"/>
    </row>
    <row r="232" hidden="1">
      <c r="A232" s="5"/>
      <c r="B232" s="5"/>
      <c r="C232" s="4" t="s">
        <v>31</v>
      </c>
      <c r="D232" s="6">
        <v>44722.0761064699</v>
      </c>
      <c r="E232" s="4" t="s">
        <v>32</v>
      </c>
      <c r="F232" s="22">
        <v>8220.0</v>
      </c>
      <c r="G232" s="4" t="s">
        <v>30</v>
      </c>
      <c r="H232" s="4" t="s">
        <v>36</v>
      </c>
      <c r="I232" s="4" t="s">
        <v>487</v>
      </c>
      <c r="J232" s="4" t="s">
        <v>171</v>
      </c>
      <c r="K232" s="4" t="s">
        <v>488</v>
      </c>
      <c r="L232" s="4" t="s">
        <v>489</v>
      </c>
      <c r="M232" s="14" t="s">
        <v>490</v>
      </c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 t="str">
        <f t="shared" si="3"/>
        <v/>
      </c>
      <c r="AB232" s="5"/>
      <c r="AC232" s="4" t="s">
        <v>35</v>
      </c>
      <c r="AD232" s="5"/>
    </row>
    <row r="233">
      <c r="A233" s="9"/>
      <c r="B233" s="9"/>
      <c r="C233" s="8" t="s">
        <v>31</v>
      </c>
      <c r="D233" s="10">
        <v>44722.07736795139</v>
      </c>
      <c r="E233" s="8" t="s">
        <v>32</v>
      </c>
      <c r="F233" s="21">
        <v>1350.0</v>
      </c>
      <c r="G233" s="8" t="s">
        <v>30</v>
      </c>
      <c r="H233" s="8" t="s">
        <v>39</v>
      </c>
      <c r="I233" s="8" t="s">
        <v>491</v>
      </c>
      <c r="J233" s="8" t="s">
        <v>171</v>
      </c>
      <c r="K233" s="8" t="s">
        <v>492</v>
      </c>
      <c r="L233" s="8" t="s">
        <v>493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 t="str">
        <f t="shared" si="3"/>
        <v/>
      </c>
      <c r="AB233" s="9"/>
      <c r="AC233" s="8" t="s">
        <v>35</v>
      </c>
      <c r="AD233" s="9"/>
    </row>
    <row r="234" hidden="1">
      <c r="A234" s="5"/>
      <c r="B234" s="5"/>
      <c r="C234" s="4" t="s">
        <v>208</v>
      </c>
      <c r="D234" s="6">
        <v>44731.237775092595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4" t="s">
        <v>80</v>
      </c>
      <c r="V234" s="4" t="s">
        <v>32</v>
      </c>
      <c r="W234" s="4">
        <v>3000.0</v>
      </c>
      <c r="X234" s="4"/>
      <c r="Y234" s="4" t="s">
        <v>212</v>
      </c>
      <c r="Z234" s="4">
        <v>3.23</v>
      </c>
      <c r="AA234" s="5">
        <f t="shared" si="3"/>
        <v>9690</v>
      </c>
      <c r="AB234" s="4" t="s">
        <v>494</v>
      </c>
      <c r="AC234" s="4" t="s">
        <v>35</v>
      </c>
      <c r="AD234" s="5"/>
    </row>
    <row r="235" hidden="1">
      <c r="A235" s="8" t="s">
        <v>440</v>
      </c>
      <c r="B235" s="9"/>
      <c r="C235" s="8" t="s">
        <v>31</v>
      </c>
      <c r="D235" s="10">
        <v>44731.23893380787</v>
      </c>
      <c r="E235" s="8" t="s">
        <v>32</v>
      </c>
      <c r="F235" s="21">
        <v>3600.0</v>
      </c>
      <c r="G235" s="8"/>
      <c r="H235" s="8" t="s">
        <v>79</v>
      </c>
      <c r="I235" s="8" t="s">
        <v>495</v>
      </c>
      <c r="J235" s="8" t="s">
        <v>34</v>
      </c>
      <c r="K235" s="9"/>
      <c r="L235" s="8" t="s">
        <v>496</v>
      </c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 t="str">
        <f t="shared" si="3"/>
        <v/>
      </c>
      <c r="AB235" s="9"/>
      <c r="AC235" s="8" t="s">
        <v>35</v>
      </c>
      <c r="AD235" s="9"/>
    </row>
    <row r="236" hidden="1">
      <c r="A236" s="5"/>
      <c r="B236" s="5"/>
      <c r="C236" s="4" t="s">
        <v>283</v>
      </c>
      <c r="D236" s="6">
        <v>44731.27458024306</v>
      </c>
      <c r="E236" s="5"/>
      <c r="F236" s="5"/>
      <c r="G236" s="5"/>
      <c r="H236" s="5"/>
      <c r="I236" s="5"/>
      <c r="J236" s="5"/>
      <c r="K236" s="5"/>
      <c r="L236" s="5"/>
      <c r="M236" s="5"/>
      <c r="N236" s="4" t="s">
        <v>34</v>
      </c>
      <c r="O236" s="4">
        <v>300.0</v>
      </c>
      <c r="P236" s="4" t="s">
        <v>79</v>
      </c>
      <c r="Q236" s="4" t="s">
        <v>497</v>
      </c>
      <c r="R236" s="4" t="s">
        <v>398</v>
      </c>
      <c r="S236" s="5"/>
      <c r="T236" s="5"/>
      <c r="U236" s="5"/>
      <c r="V236" s="5"/>
      <c r="W236" s="5"/>
      <c r="X236" s="5"/>
      <c r="Y236" s="5"/>
      <c r="Z236" s="5"/>
      <c r="AA236" s="5" t="str">
        <f t="shared" si="3"/>
        <v/>
      </c>
      <c r="AB236" s="5"/>
      <c r="AC236" s="4" t="s">
        <v>35</v>
      </c>
      <c r="AD236" s="5"/>
    </row>
    <row r="237" hidden="1">
      <c r="A237" s="9"/>
      <c r="B237" s="9"/>
      <c r="C237" s="8" t="s">
        <v>283</v>
      </c>
      <c r="D237" s="10">
        <v>44731.27797144676</v>
      </c>
      <c r="E237" s="9"/>
      <c r="F237" s="9"/>
      <c r="G237" s="9"/>
      <c r="H237" s="9"/>
      <c r="I237" s="9"/>
      <c r="J237" s="9"/>
      <c r="K237" s="9"/>
      <c r="L237" s="9"/>
      <c r="M237" s="9"/>
      <c r="N237" s="8" t="s">
        <v>34</v>
      </c>
      <c r="O237" s="8">
        <v>300.0</v>
      </c>
      <c r="P237" s="8" t="s">
        <v>57</v>
      </c>
      <c r="Q237" s="8" t="s">
        <v>498</v>
      </c>
      <c r="R237" s="8" t="s">
        <v>335</v>
      </c>
      <c r="S237" s="9"/>
      <c r="T237" s="9"/>
      <c r="U237" s="9"/>
      <c r="V237" s="9"/>
      <c r="W237" s="9"/>
      <c r="X237" s="9"/>
      <c r="Y237" s="9"/>
      <c r="Z237" s="9"/>
      <c r="AA237" s="9" t="str">
        <f t="shared" si="3"/>
        <v/>
      </c>
      <c r="AB237" s="9"/>
      <c r="AC237" s="8" t="s">
        <v>35</v>
      </c>
      <c r="AD237" s="9"/>
    </row>
    <row r="238" hidden="1">
      <c r="A238" s="4" t="s">
        <v>280</v>
      </c>
      <c r="B238" s="5"/>
      <c r="C238" s="4" t="s">
        <v>208</v>
      </c>
      <c r="D238" s="6">
        <v>44731.29078944444</v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4" t="s">
        <v>80</v>
      </c>
      <c r="V238" s="4" t="s">
        <v>32</v>
      </c>
      <c r="W238" s="4">
        <v>-4629.0</v>
      </c>
      <c r="X238" s="4"/>
      <c r="Y238" s="4" t="s">
        <v>209</v>
      </c>
      <c r="Z238" s="5"/>
      <c r="AA238" s="5">
        <f t="shared" si="3"/>
        <v>-4629</v>
      </c>
      <c r="AB238" s="4" t="s">
        <v>499</v>
      </c>
      <c r="AC238" s="4" t="s">
        <v>35</v>
      </c>
      <c r="AD238" s="5"/>
    </row>
    <row r="239" hidden="1">
      <c r="A239" s="8" t="s">
        <v>440</v>
      </c>
      <c r="B239" s="9"/>
      <c r="C239" s="8" t="s">
        <v>31</v>
      </c>
      <c r="D239" s="10">
        <v>44734.782299687504</v>
      </c>
      <c r="E239" s="8" t="s">
        <v>32</v>
      </c>
      <c r="F239" s="21">
        <v>1300.0</v>
      </c>
      <c r="G239" s="8"/>
      <c r="H239" s="8" t="s">
        <v>88</v>
      </c>
      <c r="I239" s="8" t="s">
        <v>500</v>
      </c>
      <c r="J239" s="8" t="s">
        <v>34</v>
      </c>
      <c r="K239" s="9"/>
      <c r="L239" s="8" t="s">
        <v>501</v>
      </c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 t="str">
        <f t="shared" si="3"/>
        <v/>
      </c>
      <c r="AB239" s="9"/>
      <c r="AC239" s="8" t="s">
        <v>35</v>
      </c>
      <c r="AD239" s="9"/>
    </row>
    <row r="240" hidden="1">
      <c r="A240" s="5"/>
      <c r="B240" s="5"/>
      <c r="C240" s="4" t="s">
        <v>31</v>
      </c>
      <c r="D240" s="6">
        <v>44734.91348538194</v>
      </c>
      <c r="E240" s="4" t="s">
        <v>411</v>
      </c>
      <c r="F240" s="4">
        <v>1230.0</v>
      </c>
      <c r="G240" s="4"/>
      <c r="H240" s="4" t="s">
        <v>113</v>
      </c>
      <c r="I240" s="5"/>
      <c r="J240" s="4" t="s">
        <v>34</v>
      </c>
      <c r="K240" s="5"/>
      <c r="L240" s="4" t="s">
        <v>502</v>
      </c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4" t="s">
        <v>35</v>
      </c>
      <c r="AD240" s="5"/>
    </row>
    <row r="241" hidden="1">
      <c r="A241" s="9"/>
      <c r="B241" s="9"/>
      <c r="C241" s="8" t="s">
        <v>283</v>
      </c>
      <c r="D241" s="10">
        <v>44734.9185115625</v>
      </c>
      <c r="E241" s="9"/>
      <c r="F241" s="9"/>
      <c r="G241" s="9"/>
      <c r="H241" s="9"/>
      <c r="I241" s="9"/>
      <c r="J241" s="9"/>
      <c r="K241" s="9"/>
      <c r="L241" s="9"/>
      <c r="M241" s="9"/>
      <c r="N241" s="8" t="s">
        <v>34</v>
      </c>
      <c r="O241" s="8">
        <v>600.0</v>
      </c>
      <c r="P241" s="8" t="s">
        <v>79</v>
      </c>
      <c r="Q241" s="8" t="s">
        <v>503</v>
      </c>
      <c r="R241" s="8" t="s">
        <v>286</v>
      </c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8" t="s">
        <v>35</v>
      </c>
      <c r="AD241" s="9"/>
    </row>
    <row r="242" hidden="1">
      <c r="A242" s="5"/>
      <c r="B242" s="5"/>
      <c r="C242" s="4" t="s">
        <v>208</v>
      </c>
      <c r="D242" s="6">
        <v>44738.11420675926</v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4" t="s">
        <v>99</v>
      </c>
      <c r="V242" s="4" t="s">
        <v>32</v>
      </c>
      <c r="W242" s="4">
        <v>250.0</v>
      </c>
      <c r="X242" s="4" t="s">
        <v>30</v>
      </c>
      <c r="Y242" s="4" t="s">
        <v>209</v>
      </c>
      <c r="Z242" s="5"/>
      <c r="AA242" s="5">
        <f>IF(Y242="Euro",IF(ISBLANK(Z242),W242*3.25,W242*Z242),W242)</f>
        <v>250</v>
      </c>
      <c r="AB242" s="4" t="s">
        <v>504</v>
      </c>
      <c r="AC242" s="4" t="s">
        <v>35</v>
      </c>
      <c r="AD242" s="5"/>
    </row>
    <row r="243" hidden="1">
      <c r="A243" s="9"/>
      <c r="B243" s="9"/>
      <c r="C243" s="8" t="s">
        <v>31</v>
      </c>
      <c r="D243" s="10">
        <v>44738.115136168984</v>
      </c>
      <c r="E243" s="8" t="s">
        <v>32</v>
      </c>
      <c r="F243" s="21">
        <v>2446.4</v>
      </c>
      <c r="G243" s="8" t="s">
        <v>30</v>
      </c>
      <c r="H243" s="8" t="s">
        <v>331</v>
      </c>
      <c r="I243" s="8" t="s">
        <v>505</v>
      </c>
      <c r="J243" s="8" t="s">
        <v>171</v>
      </c>
      <c r="K243" s="8" t="s">
        <v>506</v>
      </c>
      <c r="L243" s="8" t="s">
        <v>507</v>
      </c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8" t="s">
        <v>35</v>
      </c>
      <c r="AD243" s="9"/>
    </row>
    <row r="244" hidden="1">
      <c r="A244" s="5"/>
      <c r="B244" s="5"/>
      <c r="C244" s="4" t="s">
        <v>31</v>
      </c>
      <c r="D244" s="6">
        <v>44738.11595774305</v>
      </c>
      <c r="E244" s="4" t="s">
        <v>32</v>
      </c>
      <c r="F244" s="22">
        <v>1150.0</v>
      </c>
      <c r="G244" s="4" t="s">
        <v>30</v>
      </c>
      <c r="H244" s="4" t="s">
        <v>57</v>
      </c>
      <c r="I244" s="4" t="s">
        <v>508</v>
      </c>
      <c r="J244" s="4" t="s">
        <v>171</v>
      </c>
      <c r="K244" s="4" t="s">
        <v>509</v>
      </c>
      <c r="L244" s="4" t="s">
        <v>510</v>
      </c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4" t="s">
        <v>35</v>
      </c>
      <c r="AD244" s="5"/>
    </row>
    <row r="245" hidden="1">
      <c r="A245" s="9"/>
      <c r="B245" s="9"/>
      <c r="C245" s="8" t="s">
        <v>208</v>
      </c>
      <c r="D245" s="10">
        <v>44742.19827804399</v>
      </c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8" t="s">
        <v>99</v>
      </c>
      <c r="V245" s="8" t="s">
        <v>32</v>
      </c>
      <c r="W245" s="8">
        <v>8150.0</v>
      </c>
      <c r="X245" s="8" t="s">
        <v>30</v>
      </c>
      <c r="Y245" s="8" t="s">
        <v>209</v>
      </c>
      <c r="Z245" s="9"/>
      <c r="AA245" s="9">
        <f>IF(Y245="Euro",IF(ISBLANK(Z245),W245*3.25,W245*Z245),W245)</f>
        <v>8150</v>
      </c>
      <c r="AB245" s="8" t="s">
        <v>511</v>
      </c>
      <c r="AC245" s="8" t="s">
        <v>35</v>
      </c>
      <c r="AD245" s="9"/>
    </row>
    <row r="246">
      <c r="A246" s="5"/>
      <c r="B246" s="5"/>
      <c r="C246" s="4" t="s">
        <v>31</v>
      </c>
      <c r="D246" s="6">
        <v>44742.19945048611</v>
      </c>
      <c r="E246" s="4" t="s">
        <v>32</v>
      </c>
      <c r="F246" s="22">
        <v>2300.0</v>
      </c>
      <c r="G246" s="4" t="s">
        <v>30</v>
      </c>
      <c r="H246" s="4" t="s">
        <v>39</v>
      </c>
      <c r="I246" s="4" t="s">
        <v>512</v>
      </c>
      <c r="J246" s="4" t="s">
        <v>171</v>
      </c>
      <c r="K246" s="4" t="s">
        <v>513</v>
      </c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4" t="s">
        <v>35</v>
      </c>
      <c r="AD246" s="5"/>
    </row>
    <row r="247" hidden="1">
      <c r="A247" s="9"/>
      <c r="B247" s="9"/>
      <c r="C247" s="8" t="s">
        <v>31</v>
      </c>
      <c r="D247" s="10">
        <v>44742.20256810186</v>
      </c>
      <c r="E247" s="8" t="s">
        <v>32</v>
      </c>
      <c r="F247" s="21">
        <v>6977.0</v>
      </c>
      <c r="G247" s="8" t="s">
        <v>30</v>
      </c>
      <c r="H247" s="8" t="s">
        <v>36</v>
      </c>
      <c r="I247" s="8" t="s">
        <v>514</v>
      </c>
      <c r="J247" s="8" t="s">
        <v>171</v>
      </c>
      <c r="K247" s="9"/>
      <c r="L247" s="8" t="s">
        <v>515</v>
      </c>
      <c r="M247" s="8" t="s">
        <v>516</v>
      </c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8" t="s">
        <v>35</v>
      </c>
      <c r="AD247" s="9"/>
    </row>
    <row r="248" hidden="1">
      <c r="A248" s="5"/>
      <c r="B248" s="5"/>
      <c r="C248" s="4" t="s">
        <v>31</v>
      </c>
      <c r="D248" s="6">
        <v>44742.205512465276</v>
      </c>
      <c r="E248" s="4" t="s">
        <v>32</v>
      </c>
      <c r="F248" s="22">
        <v>1100.0</v>
      </c>
      <c r="G248" s="4" t="s">
        <v>30</v>
      </c>
      <c r="H248" s="4" t="s">
        <v>238</v>
      </c>
      <c r="I248" s="4" t="s">
        <v>517</v>
      </c>
      <c r="J248" s="4" t="s">
        <v>34</v>
      </c>
      <c r="K248" s="4" t="s">
        <v>518</v>
      </c>
      <c r="L248" s="5"/>
      <c r="M248" s="17" t="s">
        <v>519</v>
      </c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4" t="s">
        <v>35</v>
      </c>
      <c r="AD248" s="5"/>
    </row>
    <row r="249" hidden="1">
      <c r="A249" s="9"/>
      <c r="B249" s="9"/>
      <c r="C249" s="8" t="s">
        <v>208</v>
      </c>
      <c r="D249" s="10">
        <v>44745.98312539352</v>
      </c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8" t="s">
        <v>99</v>
      </c>
      <c r="V249" s="8" t="s">
        <v>32</v>
      </c>
      <c r="W249" s="8">
        <v>12920.0</v>
      </c>
      <c r="X249" s="8" t="s">
        <v>30</v>
      </c>
      <c r="Y249" s="8" t="s">
        <v>209</v>
      </c>
      <c r="Z249" s="9"/>
      <c r="AA249" s="9">
        <f>IF(Y249="Euro",IF(ISBLANK(Z249),W249*3.25,W249*Z249),W249)</f>
        <v>12920</v>
      </c>
      <c r="AB249" s="8" t="s">
        <v>520</v>
      </c>
      <c r="AC249" s="8" t="s">
        <v>35</v>
      </c>
      <c r="AD249" s="9"/>
    </row>
    <row r="250" hidden="1">
      <c r="A250" s="5"/>
      <c r="B250" s="5"/>
      <c r="C250" s="4" t="s">
        <v>31</v>
      </c>
      <c r="D250" s="6">
        <v>44745.98405842592</v>
      </c>
      <c r="E250" s="4" t="s">
        <v>32</v>
      </c>
      <c r="F250" s="22">
        <v>400.0</v>
      </c>
      <c r="G250" s="4" t="s">
        <v>30</v>
      </c>
      <c r="H250" s="4" t="s">
        <v>85</v>
      </c>
      <c r="I250" s="4" t="s">
        <v>521</v>
      </c>
      <c r="J250" s="4" t="s">
        <v>52</v>
      </c>
      <c r="K250" s="4" t="s">
        <v>522</v>
      </c>
      <c r="L250" s="4" t="s">
        <v>523</v>
      </c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4" t="s">
        <v>35</v>
      </c>
      <c r="AD250" s="5"/>
    </row>
    <row r="251" hidden="1">
      <c r="A251" s="9"/>
      <c r="B251" s="9"/>
      <c r="C251" s="8" t="s">
        <v>31</v>
      </c>
      <c r="D251" s="10">
        <v>44745.98518834491</v>
      </c>
      <c r="E251" s="8" t="s">
        <v>32</v>
      </c>
      <c r="F251" s="21">
        <v>110.4</v>
      </c>
      <c r="G251" s="8" t="s">
        <v>30</v>
      </c>
      <c r="H251" s="8" t="s">
        <v>57</v>
      </c>
      <c r="I251" s="8" t="s">
        <v>524</v>
      </c>
      <c r="J251" s="8" t="s">
        <v>171</v>
      </c>
      <c r="K251" s="8" t="s">
        <v>525</v>
      </c>
      <c r="L251" s="8" t="s">
        <v>526</v>
      </c>
      <c r="M251" s="12" t="s">
        <v>527</v>
      </c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8" t="s">
        <v>35</v>
      </c>
      <c r="AD251" s="9"/>
    </row>
    <row r="252" hidden="1">
      <c r="A252" s="5"/>
      <c r="B252" s="5"/>
      <c r="C252" s="4" t="s">
        <v>208</v>
      </c>
      <c r="D252" s="6">
        <v>44746.64536734954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4" t="s">
        <v>80</v>
      </c>
      <c r="V252" s="4" t="s">
        <v>411</v>
      </c>
      <c r="W252" s="4">
        <f>4650-350</f>
        <v>4300</v>
      </c>
      <c r="X252" s="4"/>
      <c r="Y252" s="4" t="s">
        <v>212</v>
      </c>
      <c r="Z252" s="4">
        <v>3.255</v>
      </c>
      <c r="AA252" s="24">
        <f t="shared" ref="AA252:AA263" si="4">IF(Y252="Euro",IF(ISBLANK(Z252),W252*3.25,W252*Z252),W252)</f>
        <v>13996.5</v>
      </c>
      <c r="AB252" s="4" t="s">
        <v>528</v>
      </c>
      <c r="AC252" s="4" t="s">
        <v>35</v>
      </c>
      <c r="AD252" s="5"/>
    </row>
    <row r="253" hidden="1">
      <c r="A253" s="9"/>
      <c r="B253" s="9"/>
      <c r="C253" s="8" t="s">
        <v>31</v>
      </c>
      <c r="D253" s="10">
        <v>44746.72459629629</v>
      </c>
      <c r="E253" s="8" t="s">
        <v>411</v>
      </c>
      <c r="F253" s="8">
        <v>1890.0</v>
      </c>
      <c r="G253" s="8"/>
      <c r="H253" s="8" t="s">
        <v>121</v>
      </c>
      <c r="I253" s="8" t="s">
        <v>529</v>
      </c>
      <c r="J253" s="8" t="s">
        <v>158</v>
      </c>
      <c r="K253" s="9"/>
      <c r="L253" s="8" t="s">
        <v>530</v>
      </c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23" t="str">
        <f t="shared" si="4"/>
        <v/>
      </c>
      <c r="AB253" s="9"/>
      <c r="AC253" s="8" t="s">
        <v>35</v>
      </c>
      <c r="AD253" s="9"/>
    </row>
    <row r="254" hidden="1">
      <c r="A254" s="5"/>
      <c r="B254" s="5"/>
      <c r="C254" s="4" t="s">
        <v>208</v>
      </c>
      <c r="D254" s="6">
        <v>44746.72521604167</v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4" t="s">
        <v>411</v>
      </c>
      <c r="V254" s="4" t="s">
        <v>80</v>
      </c>
      <c r="W254" s="4">
        <v>1890.0</v>
      </c>
      <c r="X254" s="4"/>
      <c r="Y254" s="4" t="s">
        <v>209</v>
      </c>
      <c r="Z254" s="5"/>
      <c r="AA254" s="24">
        <f t="shared" si="4"/>
        <v>1890</v>
      </c>
      <c r="AB254" s="4" t="s">
        <v>531</v>
      </c>
      <c r="AC254" s="4" t="s">
        <v>35</v>
      </c>
      <c r="AD254" s="5"/>
    </row>
    <row r="255" hidden="1">
      <c r="A255" s="9"/>
      <c r="B255" s="9"/>
      <c r="C255" s="8" t="s">
        <v>31</v>
      </c>
      <c r="D255" s="10">
        <v>44746.72607247686</v>
      </c>
      <c r="E255" s="8" t="s">
        <v>532</v>
      </c>
      <c r="F255" s="8">
        <v>2000.0</v>
      </c>
      <c r="G255" s="8"/>
      <c r="H255" s="8" t="s">
        <v>113</v>
      </c>
      <c r="I255" s="8" t="s">
        <v>533</v>
      </c>
      <c r="J255" s="8" t="s">
        <v>34</v>
      </c>
      <c r="K255" s="9"/>
      <c r="L255" s="8" t="s">
        <v>534</v>
      </c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23" t="str">
        <f t="shared" si="4"/>
        <v/>
      </c>
      <c r="AB255" s="9"/>
      <c r="AC255" s="8" t="s">
        <v>35</v>
      </c>
      <c r="AD255" s="9"/>
    </row>
    <row r="256" hidden="1">
      <c r="A256" s="5"/>
      <c r="B256" s="5"/>
      <c r="C256" s="4" t="s">
        <v>31</v>
      </c>
      <c r="D256" s="6">
        <v>44748.103115011574</v>
      </c>
      <c r="E256" s="4" t="s">
        <v>32</v>
      </c>
      <c r="F256" s="22">
        <v>1000.0</v>
      </c>
      <c r="G256" s="4" t="s">
        <v>30</v>
      </c>
      <c r="H256" s="4" t="s">
        <v>57</v>
      </c>
      <c r="I256" s="4" t="s">
        <v>535</v>
      </c>
      <c r="J256" s="4" t="s">
        <v>171</v>
      </c>
      <c r="K256" s="4" t="s">
        <v>536</v>
      </c>
      <c r="L256" s="4" t="s">
        <v>537</v>
      </c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24" t="str">
        <f t="shared" si="4"/>
        <v/>
      </c>
      <c r="AB256" s="5"/>
      <c r="AC256" s="4" t="s">
        <v>35</v>
      </c>
      <c r="AD256" s="5"/>
    </row>
    <row r="257" hidden="1">
      <c r="A257" s="9"/>
      <c r="B257" s="9"/>
      <c r="C257" s="8" t="s">
        <v>31</v>
      </c>
      <c r="D257" s="10">
        <v>44748.10393143518</v>
      </c>
      <c r="E257" s="8" t="s">
        <v>32</v>
      </c>
      <c r="F257" s="21">
        <v>1030.0</v>
      </c>
      <c r="G257" s="8" t="s">
        <v>30</v>
      </c>
      <c r="H257" s="8" t="s">
        <v>100</v>
      </c>
      <c r="I257" s="8" t="s">
        <v>538</v>
      </c>
      <c r="J257" s="8" t="s">
        <v>171</v>
      </c>
      <c r="K257" s="9"/>
      <c r="L257" s="8" t="s">
        <v>539</v>
      </c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23" t="str">
        <f t="shared" si="4"/>
        <v/>
      </c>
      <c r="AB257" s="9"/>
      <c r="AC257" s="8" t="s">
        <v>35</v>
      </c>
      <c r="AD257" s="9"/>
    </row>
    <row r="258" hidden="1">
      <c r="A258" s="5"/>
      <c r="B258" s="5"/>
      <c r="C258" s="4" t="s">
        <v>283</v>
      </c>
      <c r="D258" s="6">
        <v>44753.44833008102</v>
      </c>
      <c r="E258" s="5"/>
      <c r="F258" s="5"/>
      <c r="G258" s="5"/>
      <c r="H258" s="5"/>
      <c r="I258" s="5"/>
      <c r="J258" s="5"/>
      <c r="K258" s="5"/>
      <c r="L258" s="5"/>
      <c r="M258" s="5"/>
      <c r="N258" s="4" t="s">
        <v>171</v>
      </c>
      <c r="O258" s="4">
        <v>2446.0</v>
      </c>
      <c r="P258" s="4" t="s">
        <v>331</v>
      </c>
      <c r="Q258" s="5"/>
      <c r="R258" s="5"/>
      <c r="S258" s="4" t="s">
        <v>540</v>
      </c>
      <c r="T258" s="5"/>
      <c r="U258" s="5"/>
      <c r="V258" s="5"/>
      <c r="W258" s="5"/>
      <c r="X258" s="5"/>
      <c r="Y258" s="5"/>
      <c r="Z258" s="5"/>
      <c r="AA258" s="24" t="str">
        <f t="shared" si="4"/>
        <v/>
      </c>
      <c r="AB258" s="5"/>
      <c r="AC258" s="4" t="s">
        <v>35</v>
      </c>
      <c r="AD258" s="5"/>
    </row>
    <row r="259" hidden="1">
      <c r="A259" s="9"/>
      <c r="B259" s="9"/>
      <c r="C259" s="8" t="s">
        <v>283</v>
      </c>
      <c r="D259" s="10">
        <v>44753.44902510417</v>
      </c>
      <c r="E259" s="9"/>
      <c r="F259" s="9"/>
      <c r="G259" s="9"/>
      <c r="H259" s="9"/>
      <c r="I259" s="9"/>
      <c r="J259" s="9"/>
      <c r="K259" s="9"/>
      <c r="L259" s="9"/>
      <c r="M259" s="9"/>
      <c r="N259" s="8" t="s">
        <v>171</v>
      </c>
      <c r="O259" s="8">
        <v>1030.0</v>
      </c>
      <c r="P259" s="8" t="s">
        <v>100</v>
      </c>
      <c r="Q259" s="9"/>
      <c r="R259" s="9"/>
      <c r="S259" s="8" t="s">
        <v>541</v>
      </c>
      <c r="T259" s="9"/>
      <c r="U259" s="9"/>
      <c r="V259" s="9"/>
      <c r="W259" s="9"/>
      <c r="X259" s="9"/>
      <c r="Y259" s="9"/>
      <c r="Z259" s="9"/>
      <c r="AA259" s="23" t="str">
        <f t="shared" si="4"/>
        <v/>
      </c>
      <c r="AB259" s="9"/>
      <c r="AC259" s="8" t="s">
        <v>35</v>
      </c>
      <c r="AD259" s="9"/>
    </row>
    <row r="260" hidden="1">
      <c r="A260" s="5"/>
      <c r="B260" s="5"/>
      <c r="C260" s="4" t="s">
        <v>31</v>
      </c>
      <c r="D260" s="6">
        <v>44753.45326739583</v>
      </c>
      <c r="E260" s="4" t="s">
        <v>32</v>
      </c>
      <c r="F260" s="22">
        <v>5500.0</v>
      </c>
      <c r="G260" s="4"/>
      <c r="H260" s="4" t="s">
        <v>51</v>
      </c>
      <c r="I260" s="5"/>
      <c r="J260" s="4" t="s">
        <v>34</v>
      </c>
      <c r="K260" s="5"/>
      <c r="L260" s="4" t="s">
        <v>542</v>
      </c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24" t="str">
        <f t="shared" si="4"/>
        <v/>
      </c>
      <c r="AB260" s="5"/>
      <c r="AC260" s="4" t="s">
        <v>35</v>
      </c>
      <c r="AD260" s="5"/>
    </row>
    <row r="261" hidden="1">
      <c r="A261" s="9"/>
      <c r="B261" s="9"/>
      <c r="C261" s="8" t="s">
        <v>283</v>
      </c>
      <c r="D261" s="10">
        <v>44754.789627465274</v>
      </c>
      <c r="E261" s="9"/>
      <c r="F261" s="9"/>
      <c r="G261" s="9"/>
      <c r="H261" s="9"/>
      <c r="I261" s="9"/>
      <c r="J261" s="9"/>
      <c r="K261" s="9"/>
      <c r="L261" s="9"/>
      <c r="M261" s="9"/>
      <c r="N261" s="8" t="s">
        <v>34</v>
      </c>
      <c r="O261" s="8">
        <f>5500-5500</f>
        <v>0</v>
      </c>
      <c r="P261" s="8" t="s">
        <v>51</v>
      </c>
      <c r="Q261" s="9"/>
      <c r="R261" s="8" t="s">
        <v>335</v>
      </c>
      <c r="S261" s="8" t="s">
        <v>543</v>
      </c>
      <c r="T261" s="9"/>
      <c r="U261" s="9"/>
      <c r="V261" s="9"/>
      <c r="W261" s="9"/>
      <c r="X261" s="9"/>
      <c r="Y261" s="9"/>
      <c r="Z261" s="9"/>
      <c r="AA261" s="23" t="str">
        <f t="shared" si="4"/>
        <v/>
      </c>
      <c r="AB261" s="9"/>
      <c r="AC261" s="8" t="s">
        <v>35</v>
      </c>
      <c r="AD261" s="9"/>
    </row>
    <row r="262" hidden="1">
      <c r="A262" s="5"/>
      <c r="B262" s="5"/>
      <c r="C262" s="5"/>
      <c r="D262" s="6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24" t="str">
        <f t="shared" si="4"/>
        <v/>
      </c>
      <c r="AB262" s="5"/>
      <c r="AC262" s="5"/>
      <c r="AD262" s="5"/>
    </row>
    <row r="263" hidden="1">
      <c r="A263" s="9"/>
      <c r="B263" s="9"/>
      <c r="C263" s="8" t="s">
        <v>283</v>
      </c>
      <c r="D263" s="10">
        <v>44755.0155321412</v>
      </c>
      <c r="E263" s="9"/>
      <c r="F263" s="9"/>
      <c r="G263" s="9"/>
      <c r="H263" s="9"/>
      <c r="I263" s="9"/>
      <c r="J263" s="9"/>
      <c r="K263" s="9"/>
      <c r="L263" s="9"/>
      <c r="M263" s="9"/>
      <c r="N263" s="8" t="s">
        <v>34</v>
      </c>
      <c r="O263" s="8">
        <v>200.0</v>
      </c>
      <c r="P263" s="8" t="s">
        <v>57</v>
      </c>
      <c r="Q263" s="8" t="s">
        <v>544</v>
      </c>
      <c r="R263" s="8" t="s">
        <v>335</v>
      </c>
      <c r="S263" s="9"/>
      <c r="T263" s="9"/>
      <c r="U263" s="9"/>
      <c r="V263" s="9"/>
      <c r="W263" s="9"/>
      <c r="X263" s="9"/>
      <c r="Y263" s="9"/>
      <c r="Z263" s="9"/>
      <c r="AA263" s="23" t="str">
        <f t="shared" si="4"/>
        <v/>
      </c>
      <c r="AB263" s="9"/>
      <c r="AC263" s="8" t="s">
        <v>35</v>
      </c>
      <c r="AD263" s="9"/>
    </row>
    <row r="264" hidden="1">
      <c r="A264" s="5"/>
      <c r="B264" s="5"/>
      <c r="C264" s="4" t="s">
        <v>31</v>
      </c>
      <c r="D264" s="6">
        <v>44766.52782986111</v>
      </c>
      <c r="E264" s="4" t="s">
        <v>545</v>
      </c>
      <c r="F264" s="4">
        <v>1000.0</v>
      </c>
      <c r="G264" s="4"/>
      <c r="H264" s="4" t="s">
        <v>85</v>
      </c>
      <c r="I264" s="4" t="s">
        <v>546</v>
      </c>
      <c r="J264" s="4" t="s">
        <v>66</v>
      </c>
      <c r="K264" s="4" t="s">
        <v>547</v>
      </c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4" t="s">
        <v>35</v>
      </c>
      <c r="AD264" s="5"/>
    </row>
    <row r="265" hidden="1">
      <c r="A265" s="9"/>
      <c r="B265" s="9"/>
      <c r="C265" s="8" t="s">
        <v>31</v>
      </c>
      <c r="D265" s="10">
        <v>44766.52881722222</v>
      </c>
      <c r="E265" s="8" t="s">
        <v>80</v>
      </c>
      <c r="F265" s="8">
        <v>170.0</v>
      </c>
      <c r="G265" s="8"/>
      <c r="H265" s="8" t="s">
        <v>36</v>
      </c>
      <c r="I265" s="8" t="s">
        <v>256</v>
      </c>
      <c r="J265" s="8" t="s">
        <v>34</v>
      </c>
      <c r="K265" s="8" t="s">
        <v>548</v>
      </c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8" t="s">
        <v>35</v>
      </c>
      <c r="AD265" s="9"/>
    </row>
    <row r="266" hidden="1">
      <c r="A266" s="5"/>
      <c r="B266" s="5"/>
      <c r="C266" s="4" t="s">
        <v>31</v>
      </c>
      <c r="D266" s="6">
        <v>44766.52972032408</v>
      </c>
      <c r="E266" s="4" t="s">
        <v>99</v>
      </c>
      <c r="F266" s="4">
        <v>2400.0</v>
      </c>
      <c r="G266" s="4"/>
      <c r="H266" s="4" t="s">
        <v>238</v>
      </c>
      <c r="I266" s="4" t="s">
        <v>256</v>
      </c>
      <c r="J266" s="4" t="s">
        <v>171</v>
      </c>
      <c r="K266" s="4" t="s">
        <v>549</v>
      </c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4" t="s">
        <v>35</v>
      </c>
      <c r="AD266" s="5"/>
    </row>
    <row r="267">
      <c r="A267" s="9"/>
      <c r="B267" s="9"/>
      <c r="C267" s="8" t="s">
        <v>31</v>
      </c>
      <c r="D267" s="10">
        <v>44766.91789222222</v>
      </c>
      <c r="E267" s="8" t="s">
        <v>99</v>
      </c>
      <c r="F267" s="8">
        <v>4755.0</v>
      </c>
      <c r="G267" s="8"/>
      <c r="H267" s="8" t="s">
        <v>39</v>
      </c>
      <c r="I267" s="8" t="s">
        <v>550</v>
      </c>
      <c r="J267" s="8" t="s">
        <v>171</v>
      </c>
      <c r="K267" s="8" t="s">
        <v>551</v>
      </c>
      <c r="L267" s="8" t="s">
        <v>552</v>
      </c>
      <c r="M267" s="12" t="s">
        <v>553</v>
      </c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8" t="s">
        <v>35</v>
      </c>
      <c r="AD267" s="9"/>
    </row>
    <row r="268" hidden="1">
      <c r="A268" s="5"/>
      <c r="B268" s="5"/>
      <c r="C268" s="4" t="s">
        <v>31</v>
      </c>
      <c r="D268" s="6">
        <v>44767.981946134256</v>
      </c>
      <c r="E268" s="4" t="s">
        <v>532</v>
      </c>
      <c r="F268" s="4">
        <f>4050-4050</f>
        <v>0</v>
      </c>
      <c r="G268" s="4"/>
      <c r="H268" s="4" t="s">
        <v>113</v>
      </c>
      <c r="I268" s="4" t="s">
        <v>554</v>
      </c>
      <c r="J268" s="4" t="s">
        <v>34</v>
      </c>
      <c r="K268" s="5"/>
      <c r="L268" s="4" t="s">
        <v>555</v>
      </c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4" t="s">
        <v>35</v>
      </c>
      <c r="AD268" s="5"/>
    </row>
    <row r="269" hidden="1">
      <c r="A269" s="9"/>
      <c r="B269" s="9"/>
      <c r="C269" s="8" t="s">
        <v>31</v>
      </c>
      <c r="D269" s="10">
        <v>44767.98273167824</v>
      </c>
      <c r="E269" s="8" t="s">
        <v>411</v>
      </c>
      <c r="F269" s="8">
        <v>4300.0</v>
      </c>
      <c r="G269" s="8"/>
      <c r="H269" s="8" t="s">
        <v>57</v>
      </c>
      <c r="I269" s="8" t="s">
        <v>335</v>
      </c>
      <c r="J269" s="8" t="s">
        <v>34</v>
      </c>
      <c r="K269" s="9"/>
      <c r="L269" s="8" t="s">
        <v>556</v>
      </c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23" t="str">
        <f>IF(Y269="Euro",IF(ISBLANK(Z269),W269*3.25,W269*Z269),W269)</f>
        <v/>
      </c>
      <c r="AB269" s="9"/>
      <c r="AC269" s="8" t="s">
        <v>35</v>
      </c>
      <c r="AD269" s="9"/>
    </row>
    <row r="270" hidden="1">
      <c r="A270" s="5"/>
      <c r="B270" s="5"/>
      <c r="C270" s="4" t="s">
        <v>31</v>
      </c>
      <c r="D270" s="6">
        <v>44768.288916261576</v>
      </c>
      <c r="E270" s="4" t="s">
        <v>80</v>
      </c>
      <c r="F270" s="4">
        <v>300.0</v>
      </c>
      <c r="G270" s="4"/>
      <c r="H270" s="4" t="s">
        <v>88</v>
      </c>
      <c r="I270" s="4" t="s">
        <v>500</v>
      </c>
      <c r="J270" s="4" t="s">
        <v>34</v>
      </c>
      <c r="K270" s="4" t="s">
        <v>557</v>
      </c>
      <c r="L270" s="4" t="s">
        <v>558</v>
      </c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4" t="s">
        <v>35</v>
      </c>
      <c r="AD270" s="5"/>
    </row>
    <row r="271" hidden="1">
      <c r="A271" s="9"/>
      <c r="B271" s="9"/>
      <c r="C271" s="8" t="s">
        <v>31</v>
      </c>
      <c r="D271" s="10">
        <v>44790.933572546295</v>
      </c>
      <c r="E271" s="8" t="s">
        <v>99</v>
      </c>
      <c r="F271" s="8">
        <v>1750.0</v>
      </c>
      <c r="G271" s="8"/>
      <c r="H271" s="8" t="s">
        <v>33</v>
      </c>
      <c r="I271" s="8" t="s">
        <v>559</v>
      </c>
      <c r="J271" s="8" t="s">
        <v>171</v>
      </c>
      <c r="K271" s="8" t="s">
        <v>560</v>
      </c>
      <c r="L271" s="8" t="s">
        <v>561</v>
      </c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8" t="s">
        <v>35</v>
      </c>
      <c r="AD271" s="9"/>
    </row>
    <row r="272" hidden="1">
      <c r="A272" s="5"/>
      <c r="B272" s="5"/>
      <c r="C272" s="4" t="s">
        <v>31</v>
      </c>
      <c r="D272" s="6">
        <v>44790.935242685184</v>
      </c>
      <c r="E272" s="4" t="s">
        <v>80</v>
      </c>
      <c r="F272" s="4">
        <v>700.0</v>
      </c>
      <c r="G272" s="4"/>
      <c r="H272" s="4" t="s">
        <v>100</v>
      </c>
      <c r="I272" s="4" t="s">
        <v>313</v>
      </c>
      <c r="J272" s="4" t="s">
        <v>34</v>
      </c>
      <c r="K272" s="5"/>
      <c r="L272" s="4" t="s">
        <v>562</v>
      </c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4" t="s">
        <v>35</v>
      </c>
      <c r="AD272" s="5"/>
    </row>
    <row r="273" hidden="1">
      <c r="A273" s="9"/>
      <c r="B273" s="9"/>
      <c r="C273" s="8" t="s">
        <v>31</v>
      </c>
      <c r="D273" s="10">
        <v>44790.93784871528</v>
      </c>
      <c r="E273" s="8" t="s">
        <v>99</v>
      </c>
      <c r="F273" s="8">
        <v>560.0</v>
      </c>
      <c r="G273" s="8"/>
      <c r="H273" s="8" t="s">
        <v>79</v>
      </c>
      <c r="I273" s="8" t="s">
        <v>563</v>
      </c>
      <c r="J273" s="8" t="s">
        <v>171</v>
      </c>
      <c r="K273" s="8" t="s">
        <v>564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8" t="s">
        <v>35</v>
      </c>
      <c r="AD273" s="9"/>
    </row>
    <row r="274" hidden="1">
      <c r="A274" s="5"/>
      <c r="B274" s="5"/>
      <c r="C274" s="4" t="s">
        <v>31</v>
      </c>
      <c r="D274" s="6">
        <v>44790.944826273146</v>
      </c>
      <c r="E274" s="4" t="s">
        <v>99</v>
      </c>
      <c r="F274" s="4">
        <v>1000.0</v>
      </c>
      <c r="G274" s="4"/>
      <c r="H274" s="4" t="s">
        <v>85</v>
      </c>
      <c r="I274" s="4" t="s">
        <v>565</v>
      </c>
      <c r="J274" s="4" t="s">
        <v>171</v>
      </c>
      <c r="K274" s="4" t="s">
        <v>566</v>
      </c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4" t="s">
        <v>35</v>
      </c>
      <c r="AD274" s="5"/>
    </row>
    <row r="275" hidden="1">
      <c r="A275" s="9"/>
      <c r="B275" s="9"/>
      <c r="C275" s="8" t="s">
        <v>31</v>
      </c>
      <c r="D275" s="10">
        <v>44792.528403495366</v>
      </c>
      <c r="E275" s="8" t="s">
        <v>99</v>
      </c>
      <c r="F275" s="8">
        <v>600.0</v>
      </c>
      <c r="G275" s="8"/>
      <c r="H275" s="8" t="s">
        <v>331</v>
      </c>
      <c r="I275" s="8" t="s">
        <v>567</v>
      </c>
      <c r="J275" s="8" t="s">
        <v>52</v>
      </c>
      <c r="K275" s="8" t="s">
        <v>568</v>
      </c>
      <c r="L275" s="8" t="s">
        <v>569</v>
      </c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8" t="s">
        <v>35</v>
      </c>
      <c r="AD275" s="9"/>
    </row>
    <row r="276" hidden="1">
      <c r="A276" s="5"/>
      <c r="B276" s="5"/>
      <c r="C276" s="4" t="s">
        <v>31</v>
      </c>
      <c r="D276" s="6">
        <v>44792.52921327546</v>
      </c>
      <c r="E276" s="4" t="s">
        <v>99</v>
      </c>
      <c r="F276" s="4">
        <v>550.0</v>
      </c>
      <c r="G276" s="4"/>
      <c r="H276" s="4" t="s">
        <v>48</v>
      </c>
      <c r="I276" s="4" t="s">
        <v>570</v>
      </c>
      <c r="J276" s="4" t="s">
        <v>52</v>
      </c>
      <c r="K276" s="4" t="s">
        <v>568</v>
      </c>
      <c r="L276" s="4" t="s">
        <v>571</v>
      </c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4" t="s">
        <v>35</v>
      </c>
      <c r="AD276" s="5"/>
    </row>
    <row r="277" hidden="1">
      <c r="A277" s="9"/>
      <c r="B277" s="9"/>
      <c r="C277" s="8" t="s">
        <v>31</v>
      </c>
      <c r="D277" s="10">
        <v>44792.53005893518</v>
      </c>
      <c r="E277" s="8" t="s">
        <v>99</v>
      </c>
      <c r="F277" s="8">
        <v>100.0</v>
      </c>
      <c r="G277" s="8"/>
      <c r="H277" s="8" t="s">
        <v>36</v>
      </c>
      <c r="I277" s="8" t="s">
        <v>572</v>
      </c>
      <c r="J277" s="8" t="s">
        <v>52</v>
      </c>
      <c r="K277" s="8" t="s">
        <v>573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8" t="s">
        <v>35</v>
      </c>
      <c r="AD277" s="9"/>
    </row>
    <row r="278" hidden="1">
      <c r="A278" s="5"/>
      <c r="B278" s="5"/>
      <c r="C278" s="4" t="s">
        <v>283</v>
      </c>
      <c r="D278" s="6">
        <v>44792.824841608795</v>
      </c>
      <c r="E278" s="5"/>
      <c r="F278" s="5"/>
      <c r="G278" s="5"/>
      <c r="H278" s="5"/>
      <c r="I278" s="5"/>
      <c r="J278" s="5"/>
      <c r="K278" s="5"/>
      <c r="L278" s="5"/>
      <c r="M278" s="5"/>
      <c r="N278" s="4" t="s">
        <v>34</v>
      </c>
      <c r="O278" s="4">
        <v>250.0</v>
      </c>
      <c r="P278" s="4" t="s">
        <v>100</v>
      </c>
      <c r="Q278" s="4" t="s">
        <v>574</v>
      </c>
      <c r="R278" s="4" t="s">
        <v>310</v>
      </c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4" t="s">
        <v>35</v>
      </c>
      <c r="AD278" s="5"/>
    </row>
    <row r="279" hidden="1">
      <c r="A279" s="9"/>
      <c r="B279" s="9"/>
      <c r="C279" s="8" t="s">
        <v>31</v>
      </c>
      <c r="D279" s="10">
        <v>44792.82535349537</v>
      </c>
      <c r="E279" s="8" t="s">
        <v>80</v>
      </c>
      <c r="F279" s="8">
        <v>250.0</v>
      </c>
      <c r="G279" s="8"/>
      <c r="H279" s="8" t="s">
        <v>100</v>
      </c>
      <c r="I279" s="8" t="s">
        <v>310</v>
      </c>
      <c r="J279" s="8" t="s">
        <v>34</v>
      </c>
      <c r="K279" s="8" t="s">
        <v>575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8" t="s">
        <v>35</v>
      </c>
      <c r="AD279" s="9"/>
    </row>
    <row r="280" hidden="1">
      <c r="A280" s="5"/>
      <c r="B280" s="5"/>
      <c r="C280" s="4" t="s">
        <v>283</v>
      </c>
      <c r="D280" s="6">
        <v>44792.82890791667</v>
      </c>
      <c r="E280" s="5"/>
      <c r="F280" s="5"/>
      <c r="G280" s="5"/>
      <c r="H280" s="5"/>
      <c r="I280" s="5"/>
      <c r="J280" s="5"/>
      <c r="K280" s="5"/>
      <c r="L280" s="5"/>
      <c r="M280" s="5"/>
      <c r="N280" s="4" t="s">
        <v>34</v>
      </c>
      <c r="O280" s="4">
        <v>170.0</v>
      </c>
      <c r="P280" s="4" t="s">
        <v>36</v>
      </c>
      <c r="Q280" s="5"/>
      <c r="R280" s="4" t="s">
        <v>256</v>
      </c>
      <c r="S280" s="4" t="s">
        <v>576</v>
      </c>
      <c r="T280" s="5"/>
      <c r="U280" s="5"/>
      <c r="V280" s="5"/>
      <c r="W280" s="5"/>
      <c r="X280" s="5"/>
      <c r="Y280" s="5"/>
      <c r="Z280" s="5"/>
      <c r="AA280" s="5"/>
      <c r="AB280" s="5"/>
      <c r="AC280" s="4" t="s">
        <v>35</v>
      </c>
      <c r="AD280" s="5"/>
    </row>
    <row r="281" hidden="1">
      <c r="A281" s="9"/>
      <c r="B281" s="8" t="s">
        <v>577</v>
      </c>
      <c r="C281" s="8" t="s">
        <v>31</v>
      </c>
      <c r="D281" s="10">
        <v>44792.830812858796</v>
      </c>
      <c r="E281" s="8" t="s">
        <v>80</v>
      </c>
      <c r="F281" s="8">
        <v>0.0</v>
      </c>
      <c r="G281" s="8"/>
      <c r="H281" s="8" t="s">
        <v>100</v>
      </c>
      <c r="I281" s="8" t="s">
        <v>578</v>
      </c>
      <c r="J281" s="8" t="s">
        <v>34</v>
      </c>
      <c r="K281" s="9"/>
      <c r="L281" s="8" t="s">
        <v>579</v>
      </c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8" t="s">
        <v>35</v>
      </c>
      <c r="AD281" s="9"/>
    </row>
    <row r="282" hidden="1">
      <c r="A282" s="5"/>
      <c r="B282" s="5"/>
      <c r="C282" s="4" t="s">
        <v>283</v>
      </c>
      <c r="D282" s="6">
        <v>44792.83344854167</v>
      </c>
      <c r="E282" s="5"/>
      <c r="F282" s="5"/>
      <c r="G282" s="5"/>
      <c r="H282" s="5"/>
      <c r="I282" s="5"/>
      <c r="J282" s="5"/>
      <c r="K282" s="5"/>
      <c r="L282" s="5"/>
      <c r="M282" s="5"/>
      <c r="N282" s="4" t="s">
        <v>52</v>
      </c>
      <c r="O282" s="4">
        <v>600.0</v>
      </c>
      <c r="P282" s="4" t="s">
        <v>331</v>
      </c>
      <c r="Q282" s="5"/>
      <c r="R282" s="5"/>
      <c r="S282" s="4" t="s">
        <v>580</v>
      </c>
      <c r="T282" s="5"/>
      <c r="U282" s="5"/>
      <c r="V282" s="5"/>
      <c r="W282" s="5"/>
      <c r="X282" s="5"/>
      <c r="Y282" s="5"/>
      <c r="Z282" s="5"/>
      <c r="AA282" s="5"/>
      <c r="AB282" s="5"/>
      <c r="AC282" s="4" t="s">
        <v>35</v>
      </c>
      <c r="AD282" s="5"/>
    </row>
    <row r="283" hidden="1">
      <c r="A283" s="9"/>
      <c r="B283" s="9"/>
      <c r="C283" s="8" t="s">
        <v>31</v>
      </c>
      <c r="D283" s="10">
        <v>44792.83669296296</v>
      </c>
      <c r="E283" s="8" t="s">
        <v>411</v>
      </c>
      <c r="F283" s="8">
        <v>4050.0</v>
      </c>
      <c r="G283" s="8"/>
      <c r="H283" s="8" t="s">
        <v>113</v>
      </c>
      <c r="I283" s="8" t="s">
        <v>554</v>
      </c>
      <c r="J283" s="8" t="s">
        <v>34</v>
      </c>
      <c r="K283" s="9"/>
      <c r="L283" s="8" t="s">
        <v>581</v>
      </c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8" t="s">
        <v>35</v>
      </c>
      <c r="AD283" s="9"/>
    </row>
    <row r="284" hidden="1">
      <c r="A284" s="5"/>
      <c r="B284" s="5"/>
      <c r="C284" s="4" t="s">
        <v>208</v>
      </c>
      <c r="D284" s="6">
        <v>44792.83770929398</v>
      </c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4" t="s">
        <v>411</v>
      </c>
      <c r="V284" s="4" t="s">
        <v>80</v>
      </c>
      <c r="W284" s="4">
        <v>2000.0</v>
      </c>
      <c r="X284" s="4"/>
      <c r="Y284" s="4" t="s">
        <v>209</v>
      </c>
      <c r="Z284" s="5"/>
      <c r="AA284" s="24">
        <f>IF(Y284="Euro",IF(ISBLANK(Z284),W284*3.25,W284*Z284),W284)</f>
        <v>2000</v>
      </c>
      <c r="AB284" s="4" t="s">
        <v>582</v>
      </c>
      <c r="AC284" s="4" t="s">
        <v>35</v>
      </c>
      <c r="AD284" s="5"/>
    </row>
    <row r="285" hidden="1">
      <c r="A285" s="9"/>
      <c r="B285" s="9"/>
      <c r="C285" s="8" t="s">
        <v>31</v>
      </c>
      <c r="D285" s="10">
        <v>44792.84086940972</v>
      </c>
      <c r="E285" s="8" t="s">
        <v>411</v>
      </c>
      <c r="F285" s="8">
        <v>1000.0</v>
      </c>
      <c r="G285" s="8"/>
      <c r="H285" s="8" t="s">
        <v>113</v>
      </c>
      <c r="I285" s="8" t="s">
        <v>583</v>
      </c>
      <c r="J285" s="8" t="s">
        <v>34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8" t="s">
        <v>35</v>
      </c>
      <c r="AD285" s="9"/>
    </row>
    <row r="286" hidden="1">
      <c r="A286" s="5"/>
      <c r="B286" s="5"/>
      <c r="C286" s="4" t="s">
        <v>283</v>
      </c>
      <c r="D286" s="6">
        <v>44792.850841481486</v>
      </c>
      <c r="E286" s="5"/>
      <c r="F286" s="5"/>
      <c r="G286" s="5"/>
      <c r="H286" s="5"/>
      <c r="I286" s="5"/>
      <c r="J286" s="5"/>
      <c r="K286" s="5"/>
      <c r="L286" s="5"/>
      <c r="M286" s="5"/>
      <c r="N286" s="4" t="s">
        <v>34</v>
      </c>
      <c r="O286" s="4">
        <f>5293+500+1000</f>
        <v>6793</v>
      </c>
      <c r="P286" s="4" t="s">
        <v>51</v>
      </c>
      <c r="Q286" s="5"/>
      <c r="R286" s="4" t="s">
        <v>584</v>
      </c>
      <c r="S286" s="5"/>
      <c r="T286" s="14" t="s">
        <v>585</v>
      </c>
      <c r="U286" s="5"/>
      <c r="V286" s="5"/>
      <c r="W286" s="5"/>
      <c r="X286" s="5"/>
      <c r="Y286" s="5"/>
      <c r="Z286" s="5"/>
      <c r="AA286" s="24" t="str">
        <f>IF(Y286="Euro",IF(ISBLANK(Z286),W286*3.25,W286*Z286),W286)</f>
        <v/>
      </c>
      <c r="AB286" s="5"/>
      <c r="AC286" s="4" t="s">
        <v>35</v>
      </c>
      <c r="AD286" s="5"/>
    </row>
    <row r="287" hidden="1">
      <c r="A287" s="9"/>
      <c r="B287" s="9"/>
      <c r="C287" s="8" t="s">
        <v>31</v>
      </c>
      <c r="D287" s="10">
        <v>44793.47635143518</v>
      </c>
      <c r="E287" s="8" t="s">
        <v>99</v>
      </c>
      <c r="F287" s="8">
        <v>200.0</v>
      </c>
      <c r="G287" s="8"/>
      <c r="H287" s="8" t="s">
        <v>33</v>
      </c>
      <c r="I287" s="8" t="s">
        <v>586</v>
      </c>
      <c r="J287" s="8" t="s">
        <v>171</v>
      </c>
      <c r="K287" s="8" t="s">
        <v>587</v>
      </c>
      <c r="L287" s="8" t="s">
        <v>588</v>
      </c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8" t="s">
        <v>35</v>
      </c>
      <c r="AD287" s="9"/>
    </row>
    <row r="288" hidden="1">
      <c r="A288" s="5"/>
      <c r="B288" s="5"/>
      <c r="C288" s="4" t="s">
        <v>31</v>
      </c>
      <c r="D288" s="6">
        <v>44793.47733248843</v>
      </c>
      <c r="E288" s="4" t="s">
        <v>99</v>
      </c>
      <c r="F288" s="4">
        <v>400.0</v>
      </c>
      <c r="G288" s="4"/>
      <c r="H288" s="4" t="s">
        <v>48</v>
      </c>
      <c r="I288" s="4" t="s">
        <v>589</v>
      </c>
      <c r="J288" s="4" t="s">
        <v>52</v>
      </c>
      <c r="K288" s="4" t="s">
        <v>590</v>
      </c>
      <c r="L288" s="4" t="s">
        <v>591</v>
      </c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4" t="s">
        <v>35</v>
      </c>
      <c r="AD288" s="5"/>
    </row>
    <row r="289" hidden="1">
      <c r="A289" s="9"/>
      <c r="B289" s="9"/>
      <c r="C289" s="8" t="s">
        <v>31</v>
      </c>
      <c r="D289" s="10">
        <v>44794.561246875004</v>
      </c>
      <c r="E289" s="8" t="s">
        <v>80</v>
      </c>
      <c r="F289" s="8">
        <v>700.0</v>
      </c>
      <c r="G289" s="8"/>
      <c r="H289" s="8" t="s">
        <v>79</v>
      </c>
      <c r="I289" s="8" t="s">
        <v>286</v>
      </c>
      <c r="J289" s="8" t="s">
        <v>34</v>
      </c>
      <c r="K289" s="8" t="s">
        <v>130</v>
      </c>
      <c r="L289" s="9"/>
      <c r="M289" s="12" t="s">
        <v>592</v>
      </c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8" t="s">
        <v>35</v>
      </c>
      <c r="AD289" s="9"/>
    </row>
    <row r="290" hidden="1">
      <c r="A290" s="5"/>
      <c r="B290" s="5"/>
      <c r="C290" s="4" t="s">
        <v>31</v>
      </c>
      <c r="D290" s="6">
        <v>44795.42395646991</v>
      </c>
      <c r="E290" s="4" t="s">
        <v>99</v>
      </c>
      <c r="F290" s="4">
        <v>300.0</v>
      </c>
      <c r="G290" s="4"/>
      <c r="H290" s="4" t="s">
        <v>79</v>
      </c>
      <c r="I290" s="4" t="s">
        <v>593</v>
      </c>
      <c r="J290" s="4" t="s">
        <v>171</v>
      </c>
      <c r="K290" s="4" t="s">
        <v>594</v>
      </c>
      <c r="L290" s="4" t="s">
        <v>595</v>
      </c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4" t="s">
        <v>35</v>
      </c>
      <c r="AD290" s="5"/>
    </row>
    <row r="291" hidden="1">
      <c r="A291" s="9"/>
      <c r="B291" s="9"/>
      <c r="C291" s="8" t="s">
        <v>31</v>
      </c>
      <c r="D291" s="10">
        <v>44806.53374972222</v>
      </c>
      <c r="E291" s="8" t="s">
        <v>430</v>
      </c>
      <c r="F291" s="8">
        <v>460.0</v>
      </c>
      <c r="G291" s="8"/>
      <c r="H291" s="8" t="s">
        <v>51</v>
      </c>
      <c r="I291" s="8" t="s">
        <v>130</v>
      </c>
      <c r="J291" s="8" t="s">
        <v>34</v>
      </c>
      <c r="K291" s="8" t="s">
        <v>130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23" t="str">
        <f t="shared" ref="AA291:AA311" si="5">IF(Y291="Euro",IF(ISBLANK(Z291),W291*3.25,W291*Z291),W291)</f>
        <v/>
      </c>
      <c r="AB291" s="9"/>
      <c r="AC291" s="8" t="s">
        <v>35</v>
      </c>
      <c r="AD291" s="9"/>
    </row>
    <row r="292" hidden="1">
      <c r="A292" s="5"/>
      <c r="B292" s="5"/>
      <c r="C292" s="4" t="s">
        <v>31</v>
      </c>
      <c r="D292" s="6">
        <v>44806.53419715278</v>
      </c>
      <c r="E292" s="4" t="s">
        <v>430</v>
      </c>
      <c r="F292" s="4">
        <v>100.0</v>
      </c>
      <c r="G292" s="4"/>
      <c r="H292" s="4" t="s">
        <v>57</v>
      </c>
      <c r="I292" s="5"/>
      <c r="J292" s="4" t="s">
        <v>34</v>
      </c>
      <c r="K292" s="5"/>
      <c r="L292" s="4" t="s">
        <v>596</v>
      </c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24" t="str">
        <f t="shared" si="5"/>
        <v/>
      </c>
      <c r="AB292" s="5"/>
      <c r="AC292" s="4" t="s">
        <v>35</v>
      </c>
      <c r="AD292" s="5"/>
    </row>
    <row r="293" hidden="1">
      <c r="A293" s="9"/>
      <c r="B293" s="9"/>
      <c r="C293" s="8" t="s">
        <v>283</v>
      </c>
      <c r="D293" s="10">
        <v>44806.56411723379</v>
      </c>
      <c r="E293" s="9"/>
      <c r="F293" s="9"/>
      <c r="G293" s="9"/>
      <c r="H293" s="9"/>
      <c r="I293" s="9"/>
      <c r="J293" s="9"/>
      <c r="K293" s="9"/>
      <c r="L293" s="9"/>
      <c r="M293" s="9"/>
      <c r="N293" s="8" t="s">
        <v>34</v>
      </c>
      <c r="O293" s="8">
        <v>460.0</v>
      </c>
      <c r="P293" s="8" t="s">
        <v>51</v>
      </c>
      <c r="Q293" s="8" t="s">
        <v>597</v>
      </c>
      <c r="R293" s="9"/>
      <c r="S293" s="9"/>
      <c r="T293" s="9"/>
      <c r="U293" s="9"/>
      <c r="V293" s="9"/>
      <c r="W293" s="9"/>
      <c r="X293" s="9"/>
      <c r="Y293" s="9"/>
      <c r="Z293" s="9"/>
      <c r="AA293" s="23" t="str">
        <f t="shared" si="5"/>
        <v/>
      </c>
      <c r="AB293" s="9"/>
      <c r="AC293" s="8" t="s">
        <v>35</v>
      </c>
      <c r="AD293" s="9"/>
    </row>
    <row r="294" hidden="1">
      <c r="A294" s="5"/>
      <c r="B294" s="5"/>
      <c r="C294" s="4" t="s">
        <v>283</v>
      </c>
      <c r="D294" s="6">
        <v>44806.56817550926</v>
      </c>
      <c r="E294" s="5"/>
      <c r="F294" s="5"/>
      <c r="G294" s="5"/>
      <c r="H294" s="5"/>
      <c r="I294" s="5"/>
      <c r="J294" s="5"/>
      <c r="K294" s="5"/>
      <c r="L294" s="5"/>
      <c r="M294" s="5"/>
      <c r="N294" s="4" t="s">
        <v>34</v>
      </c>
      <c r="O294" s="4">
        <f>1050</f>
        <v>1050</v>
      </c>
      <c r="P294" s="4" t="s">
        <v>48</v>
      </c>
      <c r="Q294" s="4" t="s">
        <v>130</v>
      </c>
      <c r="R294" s="4" t="s">
        <v>598</v>
      </c>
      <c r="S294" s="5"/>
      <c r="T294" s="5"/>
      <c r="U294" s="5"/>
      <c r="V294" s="5"/>
      <c r="W294" s="5"/>
      <c r="X294" s="5"/>
      <c r="Y294" s="5"/>
      <c r="Z294" s="5"/>
      <c r="AA294" s="24" t="str">
        <f t="shared" si="5"/>
        <v/>
      </c>
      <c r="AB294" s="5"/>
      <c r="AC294" s="4" t="s">
        <v>35</v>
      </c>
      <c r="AD294" s="5"/>
    </row>
    <row r="295" hidden="1">
      <c r="A295" s="9"/>
      <c r="B295" s="9"/>
      <c r="C295" s="8" t="s">
        <v>31</v>
      </c>
      <c r="D295" s="10">
        <v>44806.569315914356</v>
      </c>
      <c r="E295" s="8" t="s">
        <v>80</v>
      </c>
      <c r="F295" s="8">
        <v>-207.0</v>
      </c>
      <c r="G295" s="8"/>
      <c r="H295" s="8" t="s">
        <v>51</v>
      </c>
      <c r="I295" s="9"/>
      <c r="J295" s="8" t="s">
        <v>34</v>
      </c>
      <c r="K295" s="9"/>
      <c r="L295" s="8" t="s">
        <v>599</v>
      </c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23" t="str">
        <f t="shared" si="5"/>
        <v/>
      </c>
      <c r="AB295" s="9"/>
      <c r="AC295" s="8" t="s">
        <v>35</v>
      </c>
      <c r="AD295" s="9"/>
    </row>
    <row r="296" hidden="1">
      <c r="A296" s="5"/>
      <c r="B296" s="5"/>
      <c r="C296" s="4" t="s">
        <v>208</v>
      </c>
      <c r="D296" s="6">
        <v>44806.57373857639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4" t="s">
        <v>80</v>
      </c>
      <c r="V296" s="4" t="s">
        <v>430</v>
      </c>
      <c r="W296" s="4">
        <v>700.0</v>
      </c>
      <c r="X296" s="4"/>
      <c r="Y296" s="4" t="s">
        <v>212</v>
      </c>
      <c r="Z296" s="5"/>
      <c r="AA296" s="24">
        <f t="shared" si="5"/>
        <v>2275</v>
      </c>
      <c r="AB296" s="4" t="s">
        <v>600</v>
      </c>
      <c r="AC296" s="4" t="s">
        <v>35</v>
      </c>
      <c r="AD296" s="5"/>
    </row>
    <row r="297" hidden="1">
      <c r="A297" s="9"/>
      <c r="B297" s="9"/>
      <c r="C297" s="8" t="s">
        <v>283</v>
      </c>
      <c r="D297" s="10">
        <v>44806.97065239583</v>
      </c>
      <c r="E297" s="9"/>
      <c r="F297" s="9"/>
      <c r="G297" s="9"/>
      <c r="H297" s="9"/>
      <c r="I297" s="9"/>
      <c r="J297" s="9"/>
      <c r="K297" s="9"/>
      <c r="L297" s="9"/>
      <c r="M297" s="9"/>
      <c r="N297" s="8" t="s">
        <v>171</v>
      </c>
      <c r="O297" s="8">
        <v>3600.0</v>
      </c>
      <c r="P297" s="8" t="s">
        <v>79</v>
      </c>
      <c r="Q297" s="8" t="s">
        <v>601</v>
      </c>
      <c r="R297" s="8" t="s">
        <v>602</v>
      </c>
      <c r="S297" s="9"/>
      <c r="T297" s="9"/>
      <c r="U297" s="9"/>
      <c r="V297" s="9"/>
      <c r="W297" s="9"/>
      <c r="X297" s="9"/>
      <c r="Y297" s="9"/>
      <c r="Z297" s="9"/>
      <c r="AA297" s="23" t="str">
        <f t="shared" si="5"/>
        <v/>
      </c>
      <c r="AB297" s="9"/>
      <c r="AC297" s="8" t="s">
        <v>35</v>
      </c>
      <c r="AD297" s="9"/>
    </row>
    <row r="298" hidden="1">
      <c r="A298" s="5"/>
      <c r="B298" s="5"/>
      <c r="C298" s="4" t="s">
        <v>31</v>
      </c>
      <c r="D298" s="6">
        <v>44806.971210578704</v>
      </c>
      <c r="E298" s="4" t="s">
        <v>99</v>
      </c>
      <c r="F298" s="4">
        <v>500.0</v>
      </c>
      <c r="G298" s="4"/>
      <c r="H298" s="4" t="s">
        <v>79</v>
      </c>
      <c r="I298" s="4" t="s">
        <v>602</v>
      </c>
      <c r="J298" s="4" t="s">
        <v>171</v>
      </c>
      <c r="K298" s="5"/>
      <c r="L298" s="4" t="s">
        <v>594</v>
      </c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24" t="str">
        <f t="shared" si="5"/>
        <v/>
      </c>
      <c r="AB298" s="5"/>
      <c r="AC298" s="4" t="s">
        <v>35</v>
      </c>
      <c r="AD298" s="5"/>
    </row>
    <row r="299" hidden="1">
      <c r="A299" s="9"/>
      <c r="B299" s="9"/>
      <c r="C299" s="8" t="s">
        <v>283</v>
      </c>
      <c r="D299" s="10">
        <v>44806.97264034722</v>
      </c>
      <c r="E299" s="9"/>
      <c r="F299" s="9"/>
      <c r="G299" s="9"/>
      <c r="H299" s="9"/>
      <c r="I299" s="9"/>
      <c r="J299" s="9"/>
      <c r="K299" s="9"/>
      <c r="L299" s="9"/>
      <c r="M299" s="9"/>
      <c r="N299" s="8" t="s">
        <v>52</v>
      </c>
      <c r="O299" s="8">
        <v>950.0</v>
      </c>
      <c r="P299" s="8" t="s">
        <v>331</v>
      </c>
      <c r="Q299" s="8" t="s">
        <v>603</v>
      </c>
      <c r="R299" s="8" t="s">
        <v>604</v>
      </c>
      <c r="S299" s="9"/>
      <c r="T299" s="9"/>
      <c r="U299" s="9"/>
      <c r="V299" s="9"/>
      <c r="W299" s="9"/>
      <c r="X299" s="9"/>
      <c r="Y299" s="9"/>
      <c r="Z299" s="9"/>
      <c r="AA299" s="23" t="str">
        <f t="shared" si="5"/>
        <v/>
      </c>
      <c r="AB299" s="9"/>
      <c r="AC299" s="8" t="s">
        <v>35</v>
      </c>
      <c r="AD299" s="9"/>
    </row>
    <row r="300" hidden="1">
      <c r="A300" s="5"/>
      <c r="B300" s="5"/>
      <c r="C300" s="4" t="s">
        <v>31</v>
      </c>
      <c r="D300" s="6">
        <v>44806.97321239584</v>
      </c>
      <c r="E300" s="4" t="s">
        <v>99</v>
      </c>
      <c r="F300" s="4">
        <v>350.0</v>
      </c>
      <c r="G300" s="4"/>
      <c r="H300" s="4" t="s">
        <v>331</v>
      </c>
      <c r="I300" s="5"/>
      <c r="J300" s="4" t="s">
        <v>52</v>
      </c>
      <c r="K300" s="4" t="s">
        <v>605</v>
      </c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24" t="str">
        <f t="shared" si="5"/>
        <v/>
      </c>
      <c r="AB300" s="5"/>
      <c r="AC300" s="4" t="s">
        <v>35</v>
      </c>
      <c r="AD300" s="5"/>
    </row>
    <row r="301" hidden="1">
      <c r="A301" s="9"/>
      <c r="B301" s="9"/>
      <c r="C301" s="8" t="s">
        <v>31</v>
      </c>
      <c r="D301" s="10">
        <v>44806.97434616898</v>
      </c>
      <c r="E301" s="8" t="s">
        <v>99</v>
      </c>
      <c r="F301" s="8">
        <v>1250.0</v>
      </c>
      <c r="G301" s="8"/>
      <c r="H301" s="8" t="s">
        <v>200</v>
      </c>
      <c r="I301" s="9"/>
      <c r="J301" s="8" t="s">
        <v>52</v>
      </c>
      <c r="K301" s="9"/>
      <c r="L301" s="8" t="s">
        <v>606</v>
      </c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23" t="str">
        <f t="shared" si="5"/>
        <v/>
      </c>
      <c r="AB301" s="9"/>
      <c r="AC301" s="8" t="s">
        <v>35</v>
      </c>
      <c r="AD301" s="9"/>
    </row>
    <row r="302" hidden="1">
      <c r="A302" s="5"/>
      <c r="B302" s="5"/>
      <c r="C302" s="4" t="s">
        <v>31</v>
      </c>
      <c r="D302" s="6">
        <v>44806.97550555556</v>
      </c>
      <c r="E302" s="4" t="s">
        <v>99</v>
      </c>
      <c r="F302" s="4">
        <v>200.0</v>
      </c>
      <c r="G302" s="4"/>
      <c r="H302" s="4" t="s">
        <v>36</v>
      </c>
      <c r="I302" s="4" t="s">
        <v>256</v>
      </c>
      <c r="J302" s="4" t="s">
        <v>52</v>
      </c>
      <c r="K302" s="4" t="s">
        <v>607</v>
      </c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24" t="str">
        <f t="shared" si="5"/>
        <v/>
      </c>
      <c r="AB302" s="5"/>
      <c r="AC302" s="4" t="s">
        <v>35</v>
      </c>
      <c r="AD302" s="5"/>
    </row>
    <row r="303" hidden="1">
      <c r="A303" s="9"/>
      <c r="B303" s="9"/>
      <c r="C303" s="8" t="s">
        <v>31</v>
      </c>
      <c r="D303" s="10">
        <v>44806.976167534725</v>
      </c>
      <c r="E303" s="8" t="s">
        <v>430</v>
      </c>
      <c r="F303" s="8">
        <v>250.0</v>
      </c>
      <c r="G303" s="8"/>
      <c r="H303" s="8" t="s">
        <v>36</v>
      </c>
      <c r="I303" s="8" t="s">
        <v>256</v>
      </c>
      <c r="J303" s="8" t="s">
        <v>52</v>
      </c>
      <c r="K303" s="9"/>
      <c r="L303" s="8" t="s">
        <v>608</v>
      </c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23" t="str">
        <f t="shared" si="5"/>
        <v/>
      </c>
      <c r="AB303" s="9"/>
      <c r="AC303" s="8" t="s">
        <v>35</v>
      </c>
      <c r="AD303" s="9"/>
    </row>
    <row r="304" hidden="1">
      <c r="A304" s="5"/>
      <c r="B304" s="5"/>
      <c r="C304" s="4" t="s">
        <v>31</v>
      </c>
      <c r="D304" s="6">
        <v>44806.97785486111</v>
      </c>
      <c r="E304" s="4" t="s">
        <v>430</v>
      </c>
      <c r="F304" s="4">
        <v>80.0</v>
      </c>
      <c r="G304" s="4"/>
      <c r="H304" s="4" t="s">
        <v>88</v>
      </c>
      <c r="I304" s="4" t="s">
        <v>500</v>
      </c>
      <c r="J304" s="4" t="s">
        <v>52</v>
      </c>
      <c r="K304" s="4" t="s">
        <v>609</v>
      </c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24" t="str">
        <f t="shared" si="5"/>
        <v/>
      </c>
      <c r="AB304" s="5"/>
      <c r="AC304" s="4" t="s">
        <v>35</v>
      </c>
      <c r="AD304" s="5"/>
    </row>
    <row r="305" hidden="1">
      <c r="A305" s="9"/>
      <c r="B305" s="9"/>
      <c r="C305" s="8" t="s">
        <v>208</v>
      </c>
      <c r="D305" s="10">
        <v>44806.97838428241</v>
      </c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8" t="s">
        <v>32</v>
      </c>
      <c r="V305" s="8" t="s">
        <v>99</v>
      </c>
      <c r="W305" s="8">
        <f>11813-5500-464</f>
        <v>5849</v>
      </c>
      <c r="X305" s="8"/>
      <c r="Y305" s="8" t="s">
        <v>209</v>
      </c>
      <c r="Z305" s="9"/>
      <c r="AA305" s="23">
        <f t="shared" si="5"/>
        <v>5849</v>
      </c>
      <c r="AB305" s="8" t="s">
        <v>610</v>
      </c>
      <c r="AC305" s="8" t="s">
        <v>35</v>
      </c>
      <c r="AD305" s="9"/>
    </row>
    <row r="306" hidden="1">
      <c r="A306" s="5"/>
      <c r="B306" s="5"/>
      <c r="C306" s="4" t="s">
        <v>31</v>
      </c>
      <c r="D306" s="6">
        <v>44806.97953440972</v>
      </c>
      <c r="E306" s="4" t="s">
        <v>99</v>
      </c>
      <c r="F306" s="4">
        <v>150.0</v>
      </c>
      <c r="G306" s="4"/>
      <c r="H306" s="4" t="s">
        <v>100</v>
      </c>
      <c r="I306" s="4" t="s">
        <v>310</v>
      </c>
      <c r="J306" s="4" t="s">
        <v>171</v>
      </c>
      <c r="K306" s="4" t="s">
        <v>611</v>
      </c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24" t="str">
        <f t="shared" si="5"/>
        <v/>
      </c>
      <c r="AB306" s="5"/>
      <c r="AC306" s="4" t="s">
        <v>35</v>
      </c>
      <c r="AD306" s="5"/>
    </row>
    <row r="307">
      <c r="A307" s="9"/>
      <c r="B307" s="9"/>
      <c r="C307" s="8" t="s">
        <v>31</v>
      </c>
      <c r="D307" s="10">
        <v>44806.98000962963</v>
      </c>
      <c r="E307" s="8" t="s">
        <v>99</v>
      </c>
      <c r="F307" s="8">
        <v>70.0</v>
      </c>
      <c r="G307" s="8"/>
      <c r="H307" s="8" t="s">
        <v>39</v>
      </c>
      <c r="I307" s="9"/>
      <c r="J307" s="8" t="s">
        <v>171</v>
      </c>
      <c r="K307" s="8" t="s">
        <v>612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23" t="str">
        <f t="shared" si="5"/>
        <v/>
      </c>
      <c r="AB307" s="9"/>
      <c r="AC307" s="8" t="s">
        <v>35</v>
      </c>
      <c r="AD307" s="9"/>
    </row>
    <row r="308" hidden="1">
      <c r="A308" s="5"/>
      <c r="B308" s="5"/>
      <c r="C308" s="4" t="s">
        <v>283</v>
      </c>
      <c r="D308" s="6">
        <v>44806.98151353009</v>
      </c>
      <c r="E308" s="5"/>
      <c r="F308" s="5"/>
      <c r="G308" s="5"/>
      <c r="H308" s="5"/>
      <c r="I308" s="5"/>
      <c r="J308" s="5"/>
      <c r="K308" s="5"/>
      <c r="L308" s="5"/>
      <c r="M308" s="5"/>
      <c r="N308" s="4" t="s">
        <v>171</v>
      </c>
      <c r="O308" s="4">
        <v>1600.0</v>
      </c>
      <c r="P308" s="4" t="s">
        <v>33</v>
      </c>
      <c r="Q308" s="5"/>
      <c r="R308" s="4" t="s">
        <v>613</v>
      </c>
      <c r="S308" s="4" t="s">
        <v>614</v>
      </c>
      <c r="T308" s="5"/>
      <c r="U308" s="5"/>
      <c r="V308" s="5"/>
      <c r="W308" s="5"/>
      <c r="X308" s="5"/>
      <c r="Y308" s="5"/>
      <c r="Z308" s="5"/>
      <c r="AA308" s="24" t="str">
        <f t="shared" si="5"/>
        <v/>
      </c>
      <c r="AB308" s="5"/>
      <c r="AC308" s="4" t="s">
        <v>35</v>
      </c>
      <c r="AD308" s="5"/>
    </row>
    <row r="309" hidden="1">
      <c r="A309" s="9"/>
      <c r="B309" s="9"/>
      <c r="C309" s="8" t="s">
        <v>31</v>
      </c>
      <c r="D309" s="10">
        <v>44806.98308553241</v>
      </c>
      <c r="E309" s="8" t="s">
        <v>99</v>
      </c>
      <c r="F309" s="8">
        <v>360.0</v>
      </c>
      <c r="G309" s="8"/>
      <c r="H309" s="8" t="s">
        <v>33</v>
      </c>
      <c r="I309" s="9"/>
      <c r="J309" s="8" t="s">
        <v>52</v>
      </c>
      <c r="K309" s="8" t="s">
        <v>615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23" t="str">
        <f t="shared" si="5"/>
        <v/>
      </c>
      <c r="AB309" s="9"/>
      <c r="AC309" s="8" t="s">
        <v>35</v>
      </c>
      <c r="AD309" s="9"/>
    </row>
    <row r="310" hidden="1">
      <c r="A310" s="5"/>
      <c r="B310" s="5"/>
      <c r="C310" s="4" t="s">
        <v>31</v>
      </c>
      <c r="D310" s="6">
        <v>44806.985060983796</v>
      </c>
      <c r="E310" s="4" t="s">
        <v>99</v>
      </c>
      <c r="F310" s="4">
        <v>300.0</v>
      </c>
      <c r="G310" s="4"/>
      <c r="H310" s="4" t="s">
        <v>57</v>
      </c>
      <c r="I310" s="4" t="s">
        <v>71</v>
      </c>
      <c r="J310" s="4" t="s">
        <v>171</v>
      </c>
      <c r="K310" s="5"/>
      <c r="L310" s="4" t="s">
        <v>616</v>
      </c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24" t="str">
        <f t="shared" si="5"/>
        <v/>
      </c>
      <c r="AB310" s="5"/>
      <c r="AC310" s="4" t="s">
        <v>35</v>
      </c>
      <c r="AD310" s="5"/>
    </row>
    <row r="311" hidden="1">
      <c r="A311" s="9"/>
      <c r="B311" s="9"/>
      <c r="C311" s="8" t="s">
        <v>283</v>
      </c>
      <c r="D311" s="10">
        <v>44806.986905729165</v>
      </c>
      <c r="E311" s="9"/>
      <c r="F311" s="9"/>
      <c r="G311" s="9"/>
      <c r="H311" s="9"/>
      <c r="I311" s="9"/>
      <c r="J311" s="9"/>
      <c r="K311" s="9"/>
      <c r="L311" s="9"/>
      <c r="M311" s="9"/>
      <c r="N311" s="8" t="s">
        <v>171</v>
      </c>
      <c r="O311" s="9"/>
      <c r="P311" s="8" t="s">
        <v>85</v>
      </c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23" t="str">
        <f t="shared" si="5"/>
        <v/>
      </c>
      <c r="AB311" s="9"/>
      <c r="AC311" s="8" t="s">
        <v>35</v>
      </c>
      <c r="AD311" s="9"/>
    </row>
    <row r="312" hidden="1">
      <c r="A312" s="5"/>
      <c r="B312" s="5"/>
      <c r="C312" s="4" t="s">
        <v>283</v>
      </c>
      <c r="D312" s="6">
        <v>44806.987584421295</v>
      </c>
      <c r="E312" s="5"/>
      <c r="F312" s="5"/>
      <c r="G312" s="5"/>
      <c r="H312" s="5"/>
      <c r="I312" s="5"/>
      <c r="J312" s="5"/>
      <c r="K312" s="5"/>
      <c r="L312" s="5"/>
      <c r="M312" s="5"/>
      <c r="N312" s="4" t="s">
        <v>171</v>
      </c>
      <c r="O312" s="4">
        <v>0.0</v>
      </c>
      <c r="P312" s="4" t="s">
        <v>238</v>
      </c>
      <c r="Q312" s="4" t="s">
        <v>617</v>
      </c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4" t="s">
        <v>35</v>
      </c>
      <c r="AD312" s="5"/>
    </row>
    <row r="313" hidden="1">
      <c r="A313" s="9"/>
      <c r="B313" s="9"/>
      <c r="C313" s="8" t="s">
        <v>31</v>
      </c>
      <c r="D313" s="10">
        <v>44807.54774369213</v>
      </c>
      <c r="E313" s="8" t="s">
        <v>32</v>
      </c>
      <c r="F313" s="8">
        <v>464.0</v>
      </c>
      <c r="G313" s="8" t="s">
        <v>30</v>
      </c>
      <c r="H313" s="8" t="s">
        <v>200</v>
      </c>
      <c r="I313" s="9"/>
      <c r="J313" s="8" t="s">
        <v>171</v>
      </c>
      <c r="K313" s="9"/>
      <c r="L313" s="8" t="s">
        <v>618</v>
      </c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8" t="s">
        <v>35</v>
      </c>
      <c r="AD313" s="9"/>
    </row>
    <row r="314" hidden="1">
      <c r="A314" s="5"/>
      <c r="B314" s="5"/>
      <c r="C314" s="4" t="s">
        <v>283</v>
      </c>
      <c r="D314" s="6">
        <v>44808.5017779051</v>
      </c>
      <c r="E314" s="5"/>
      <c r="F314" s="5"/>
      <c r="G314" s="5"/>
      <c r="H314" s="5"/>
      <c r="I314" s="5"/>
      <c r="J314" s="5"/>
      <c r="K314" s="5"/>
      <c r="L314" s="5"/>
      <c r="M314" s="5"/>
      <c r="N314" s="4" t="s">
        <v>34</v>
      </c>
      <c r="O314" s="4">
        <v>560.0</v>
      </c>
      <c r="P314" s="4" t="s">
        <v>200</v>
      </c>
      <c r="Q314" s="4" t="s">
        <v>619</v>
      </c>
      <c r="R314" s="4" t="s">
        <v>620</v>
      </c>
      <c r="S314" s="4" t="s">
        <v>621</v>
      </c>
      <c r="T314" s="5"/>
      <c r="U314" s="5"/>
      <c r="V314" s="5"/>
      <c r="W314" s="5"/>
      <c r="X314" s="5"/>
      <c r="Y314" s="5"/>
      <c r="Z314" s="5"/>
      <c r="AA314" s="5"/>
      <c r="AB314" s="5"/>
      <c r="AC314" s="4" t="s">
        <v>35</v>
      </c>
      <c r="AD314" s="5"/>
    </row>
    <row r="315" hidden="1">
      <c r="A315" s="9"/>
      <c r="B315" s="9"/>
      <c r="C315" s="8" t="s">
        <v>31</v>
      </c>
      <c r="D315" s="10">
        <v>44817.70644645834</v>
      </c>
      <c r="E315" s="8" t="s">
        <v>430</v>
      </c>
      <c r="F315" s="8">
        <v>1000.0</v>
      </c>
      <c r="G315" s="8"/>
      <c r="H315" s="8" t="s">
        <v>48</v>
      </c>
      <c r="I315" s="8" t="s">
        <v>622</v>
      </c>
      <c r="J315" s="8" t="s">
        <v>34</v>
      </c>
      <c r="K315" s="8" t="s">
        <v>130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8" t="s">
        <v>35</v>
      </c>
      <c r="AD315" s="9"/>
    </row>
    <row r="316" hidden="1">
      <c r="A316" s="5"/>
      <c r="B316" s="5"/>
      <c r="C316" s="4" t="s">
        <v>31</v>
      </c>
      <c r="D316" s="6">
        <v>44817.724781805555</v>
      </c>
      <c r="E316" s="4" t="s">
        <v>430</v>
      </c>
      <c r="F316" s="4">
        <v>439.0</v>
      </c>
      <c r="G316" s="4"/>
      <c r="H316" s="4" t="s">
        <v>36</v>
      </c>
      <c r="I316" s="4" t="s">
        <v>266</v>
      </c>
      <c r="J316" s="4" t="s">
        <v>623</v>
      </c>
      <c r="K316" s="4" t="s">
        <v>624</v>
      </c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4" t="s">
        <v>35</v>
      </c>
      <c r="AD316" s="5"/>
    </row>
    <row r="317" hidden="1">
      <c r="A317" s="9"/>
      <c r="B317" s="9"/>
      <c r="C317" s="8" t="s">
        <v>31</v>
      </c>
      <c r="D317" s="10">
        <v>44817.72600795139</v>
      </c>
      <c r="E317" s="8" t="s">
        <v>430</v>
      </c>
      <c r="F317" s="8">
        <v>303.0</v>
      </c>
      <c r="G317" s="8"/>
      <c r="H317" s="8" t="s">
        <v>200</v>
      </c>
      <c r="I317" s="8" t="s">
        <v>625</v>
      </c>
      <c r="J317" s="8" t="s">
        <v>34</v>
      </c>
      <c r="K317" s="8" t="s">
        <v>626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8" t="s">
        <v>35</v>
      </c>
      <c r="AD317" s="9"/>
    </row>
    <row r="318" hidden="1">
      <c r="A318" s="5"/>
      <c r="B318" s="5"/>
      <c r="C318" s="4" t="s">
        <v>31</v>
      </c>
      <c r="D318" s="6">
        <v>44818.71835313657</v>
      </c>
      <c r="E318" s="4" t="s">
        <v>430</v>
      </c>
      <c r="F318" s="4">
        <v>300.0</v>
      </c>
      <c r="G318" s="4"/>
      <c r="H318" s="4" t="s">
        <v>57</v>
      </c>
      <c r="I318" s="4" t="s">
        <v>627</v>
      </c>
      <c r="J318" s="4" t="s">
        <v>34</v>
      </c>
      <c r="K318" s="4" t="s">
        <v>130</v>
      </c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4" t="s">
        <v>35</v>
      </c>
      <c r="AD318" s="5"/>
    </row>
    <row r="319" hidden="1">
      <c r="A319" s="9"/>
      <c r="B319" s="9"/>
      <c r="C319" s="8" t="s">
        <v>283</v>
      </c>
      <c r="D319" s="10">
        <v>44818.80207201389</v>
      </c>
      <c r="E319" s="9"/>
      <c r="F319" s="9"/>
      <c r="G319" s="9"/>
      <c r="H319" s="9"/>
      <c r="I319" s="9"/>
      <c r="J319" s="9"/>
      <c r="K319" s="9"/>
      <c r="L319" s="9"/>
      <c r="M319" s="9"/>
      <c r="N319" s="8" t="s">
        <v>623</v>
      </c>
      <c r="O319" s="8">
        <v>760.0</v>
      </c>
      <c r="P319" s="8" t="s">
        <v>39</v>
      </c>
      <c r="Q319" s="8" t="s">
        <v>628</v>
      </c>
      <c r="R319" s="8" t="s">
        <v>629</v>
      </c>
      <c r="S319" s="9"/>
      <c r="T319" s="12" t="s">
        <v>630</v>
      </c>
      <c r="U319" s="9"/>
      <c r="V319" s="9"/>
      <c r="W319" s="9"/>
      <c r="X319" s="9"/>
      <c r="Y319" s="9"/>
      <c r="Z319" s="9"/>
      <c r="AA319" s="9"/>
      <c r="AB319" s="9"/>
      <c r="AC319" s="8" t="s">
        <v>35</v>
      </c>
      <c r="AD319" s="9"/>
    </row>
    <row r="320" hidden="1">
      <c r="A320" s="5"/>
      <c r="B320" s="5"/>
      <c r="C320" s="4" t="s">
        <v>208</v>
      </c>
      <c r="D320" s="6">
        <v>44820.71111077546</v>
      </c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4" t="s">
        <v>631</v>
      </c>
      <c r="V320" s="4" t="s">
        <v>32</v>
      </c>
      <c r="W320" s="4">
        <v>1000.0</v>
      </c>
      <c r="X320" s="4"/>
      <c r="Y320" s="4" t="s">
        <v>209</v>
      </c>
      <c r="Z320" s="5"/>
      <c r="AA320" s="5">
        <f t="shared" ref="AA320:AA328" si="6">IF(Y320="Euro",IF(ISBLANK(Z320),W320*3.25,W320*Z320),W320)</f>
        <v>1000</v>
      </c>
      <c r="AB320" s="4" t="s">
        <v>632</v>
      </c>
      <c r="AC320" s="4" t="s">
        <v>35</v>
      </c>
      <c r="AD320" s="5"/>
    </row>
    <row r="321" hidden="1">
      <c r="A321" s="9"/>
      <c r="B321" s="9"/>
      <c r="C321" s="8" t="s">
        <v>208</v>
      </c>
      <c r="D321" s="10">
        <v>44820.71169152777</v>
      </c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8" t="s">
        <v>631</v>
      </c>
      <c r="V321" s="8" t="s">
        <v>32</v>
      </c>
      <c r="W321" s="8">
        <v>5500.0</v>
      </c>
      <c r="X321" s="8"/>
      <c r="Y321" s="8" t="s">
        <v>212</v>
      </c>
      <c r="Z321" s="9"/>
      <c r="AA321" s="9">
        <f t="shared" si="6"/>
        <v>17875</v>
      </c>
      <c r="AB321" s="8" t="s">
        <v>633</v>
      </c>
      <c r="AC321" s="8" t="s">
        <v>35</v>
      </c>
      <c r="AD321" s="9"/>
    </row>
    <row r="322" hidden="1">
      <c r="A322" s="5"/>
      <c r="B322" s="5"/>
      <c r="C322" s="4" t="s">
        <v>208</v>
      </c>
      <c r="D322" s="6">
        <v>44820.71211021991</v>
      </c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4" t="s">
        <v>32</v>
      </c>
      <c r="V322" s="4" t="s">
        <v>430</v>
      </c>
      <c r="W322" s="4">
        <v>500.0</v>
      </c>
      <c r="X322" s="4"/>
      <c r="Y322" s="4" t="s">
        <v>212</v>
      </c>
      <c r="Z322" s="5"/>
      <c r="AA322" s="5">
        <f t="shared" si="6"/>
        <v>1625</v>
      </c>
      <c r="AB322" s="4" t="s">
        <v>634</v>
      </c>
      <c r="AC322" s="4" t="s">
        <v>35</v>
      </c>
      <c r="AD322" s="5"/>
    </row>
    <row r="323" hidden="1">
      <c r="A323" s="9"/>
      <c r="B323" s="9"/>
      <c r="C323" s="8" t="s">
        <v>208</v>
      </c>
      <c r="D323" s="10">
        <v>44820.71265690972</v>
      </c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8" t="s">
        <v>32</v>
      </c>
      <c r="V323" s="8" t="s">
        <v>430</v>
      </c>
      <c r="W323" s="8">
        <v>800.0</v>
      </c>
      <c r="X323" s="8"/>
      <c r="Y323" s="8" t="s">
        <v>212</v>
      </c>
      <c r="Z323" s="9"/>
      <c r="AA323" s="9">
        <f t="shared" si="6"/>
        <v>2600</v>
      </c>
      <c r="AB323" s="8" t="s">
        <v>635</v>
      </c>
      <c r="AC323" s="8" t="s">
        <v>35</v>
      </c>
      <c r="AD323" s="9"/>
    </row>
    <row r="324" hidden="1">
      <c r="A324" s="5"/>
      <c r="B324" s="5"/>
      <c r="C324" s="4" t="s">
        <v>31</v>
      </c>
      <c r="D324" s="6">
        <v>44825.82786149306</v>
      </c>
      <c r="E324" s="4" t="s">
        <v>430</v>
      </c>
      <c r="F324" s="4">
        <v>800.0</v>
      </c>
      <c r="G324" s="4"/>
      <c r="H324" s="4" t="s">
        <v>57</v>
      </c>
      <c r="I324" s="4" t="s">
        <v>335</v>
      </c>
      <c r="J324" s="4" t="s">
        <v>34</v>
      </c>
      <c r="K324" s="4" t="s">
        <v>636</v>
      </c>
      <c r="L324" s="5"/>
      <c r="M324" s="14" t="s">
        <v>637</v>
      </c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 t="str">
        <f t="shared" si="6"/>
        <v/>
      </c>
      <c r="AB324" s="5"/>
      <c r="AC324" s="4" t="s">
        <v>35</v>
      </c>
      <c r="AD324" s="5"/>
    </row>
    <row r="325" hidden="1">
      <c r="A325" s="9"/>
      <c r="B325" s="9"/>
      <c r="C325" s="8" t="s">
        <v>31</v>
      </c>
      <c r="D325" s="10">
        <v>44875.50701032407</v>
      </c>
      <c r="E325" s="8" t="s">
        <v>80</v>
      </c>
      <c r="F325" s="8">
        <v>800.0</v>
      </c>
      <c r="G325" s="8"/>
      <c r="H325" s="8" t="s">
        <v>321</v>
      </c>
      <c r="I325" s="9"/>
      <c r="J325" s="8" t="s">
        <v>34</v>
      </c>
      <c r="K325" s="9"/>
      <c r="L325" s="8" t="s">
        <v>638</v>
      </c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 t="str">
        <f t="shared" si="6"/>
        <v/>
      </c>
      <c r="AB325" s="9"/>
      <c r="AC325" s="8" t="s">
        <v>35</v>
      </c>
      <c r="AD325" s="9"/>
    </row>
    <row r="326" hidden="1">
      <c r="A326" s="5"/>
      <c r="B326" s="5"/>
      <c r="C326" s="4" t="s">
        <v>31</v>
      </c>
      <c r="D326" s="6">
        <v>44876.76674011574</v>
      </c>
      <c r="E326" s="4" t="s">
        <v>80</v>
      </c>
      <c r="F326" s="4">
        <v>500.0</v>
      </c>
      <c r="G326" s="4"/>
      <c r="H326" s="4" t="s">
        <v>79</v>
      </c>
      <c r="I326" s="5"/>
      <c r="J326" s="4" t="s">
        <v>34</v>
      </c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 t="str">
        <f t="shared" si="6"/>
        <v/>
      </c>
      <c r="AB326" s="5"/>
      <c r="AC326" s="4" t="s">
        <v>35</v>
      </c>
      <c r="AD326" s="5"/>
    </row>
    <row r="327" hidden="1">
      <c r="A327" s="9"/>
      <c r="B327" s="9"/>
      <c r="C327" s="8" t="s">
        <v>31</v>
      </c>
      <c r="D327" s="10">
        <v>44878.44417275463</v>
      </c>
      <c r="E327" s="8" t="s">
        <v>32</v>
      </c>
      <c r="F327" s="8">
        <v>1600.0</v>
      </c>
      <c r="G327" s="9"/>
      <c r="H327" s="8" t="s">
        <v>57</v>
      </c>
      <c r="I327" s="8" t="s">
        <v>639</v>
      </c>
      <c r="J327" s="8" t="s">
        <v>40</v>
      </c>
      <c r="K327" s="9"/>
      <c r="L327" s="9"/>
      <c r="M327" s="12" t="s">
        <v>640</v>
      </c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 t="str">
        <f t="shared" si="6"/>
        <v/>
      </c>
      <c r="AB327" s="9"/>
      <c r="AC327" s="8" t="s">
        <v>35</v>
      </c>
      <c r="AD327" s="9"/>
    </row>
    <row r="328" hidden="1">
      <c r="A328" s="5"/>
      <c r="B328" s="5"/>
      <c r="C328" s="4" t="s">
        <v>208</v>
      </c>
      <c r="D328" s="6">
        <v>44878.44924325231</v>
      </c>
      <c r="E328" s="4"/>
      <c r="F328" s="4"/>
      <c r="G328" s="5"/>
      <c r="H328" s="4"/>
      <c r="I328" s="4"/>
      <c r="J328" s="4"/>
      <c r="K328" s="5"/>
      <c r="L328" s="4"/>
      <c r="M328" s="5"/>
      <c r="N328" s="5"/>
      <c r="O328" s="5"/>
      <c r="P328" s="5"/>
      <c r="Q328" s="5"/>
      <c r="R328" s="5"/>
      <c r="S328" s="5"/>
      <c r="T328" s="5"/>
      <c r="U328" s="4" t="s">
        <v>32</v>
      </c>
      <c r="V328" s="4" t="s">
        <v>99</v>
      </c>
      <c r="W328" s="4">
        <v>5800.0</v>
      </c>
      <c r="X328" s="5"/>
      <c r="Y328" s="4" t="s">
        <v>209</v>
      </c>
      <c r="Z328" s="5"/>
      <c r="AA328" s="5">
        <f t="shared" si="6"/>
        <v>5800</v>
      </c>
      <c r="AB328" s="4" t="s">
        <v>641</v>
      </c>
      <c r="AC328" s="4" t="s">
        <v>35</v>
      </c>
      <c r="AD328" s="5"/>
    </row>
    <row r="329" hidden="1">
      <c r="C329" s="25" t="s">
        <v>31</v>
      </c>
      <c r="D329" s="26">
        <v>44949.747905972225</v>
      </c>
      <c r="E329" s="25" t="s">
        <v>80</v>
      </c>
      <c r="F329" s="25">
        <v>2000.0</v>
      </c>
      <c r="H329" s="25" t="s">
        <v>79</v>
      </c>
      <c r="J329" s="25" t="s">
        <v>34</v>
      </c>
      <c r="L329" s="25" t="s">
        <v>642</v>
      </c>
      <c r="AC329" s="25" t="s">
        <v>35</v>
      </c>
    </row>
    <row r="330" hidden="1">
      <c r="C330" s="27" t="s">
        <v>31</v>
      </c>
      <c r="D330" s="28">
        <v>45067.929949074074</v>
      </c>
      <c r="E330" s="27" t="s">
        <v>80</v>
      </c>
      <c r="F330" s="27">
        <v>1000.0</v>
      </c>
      <c r="H330" s="27" t="s">
        <v>79</v>
      </c>
      <c r="I330" s="27" t="s">
        <v>643</v>
      </c>
      <c r="J330" s="27" t="s">
        <v>34</v>
      </c>
      <c r="K330" s="27" t="s">
        <v>642</v>
      </c>
      <c r="AC330" s="27" t="s">
        <v>35</v>
      </c>
    </row>
    <row r="331">
      <c r="C331" s="25" t="s">
        <v>31</v>
      </c>
      <c r="D331" s="26">
        <v>45253.326804236116</v>
      </c>
      <c r="E331" s="25" t="s">
        <v>80</v>
      </c>
      <c r="F331" s="25">
        <v>1200.0</v>
      </c>
      <c r="H331" s="25" t="s">
        <v>79</v>
      </c>
      <c r="J331" s="25" t="s">
        <v>34</v>
      </c>
      <c r="L331" s="25" t="s">
        <v>644</v>
      </c>
      <c r="AC331" s="25" t="s">
        <v>35</v>
      </c>
    </row>
    <row r="332">
      <c r="C332" s="27" t="s">
        <v>31</v>
      </c>
      <c r="D332" s="28">
        <v>45581.37345271991</v>
      </c>
      <c r="E332" s="27" t="s">
        <v>80</v>
      </c>
      <c r="F332" s="27">
        <v>1000.0</v>
      </c>
      <c r="H332" s="27" t="s">
        <v>100</v>
      </c>
      <c r="I332" s="27" t="s">
        <v>642</v>
      </c>
      <c r="J332" s="27" t="s">
        <v>34</v>
      </c>
      <c r="K332" s="27" t="s">
        <v>642</v>
      </c>
      <c r="M332" s="29" t="s">
        <v>645</v>
      </c>
      <c r="AC332" s="27" t="s">
        <v>35</v>
      </c>
    </row>
    <row r="333" hidden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1"/>
      <c r="X333" s="31"/>
      <c r="Y333" s="31"/>
      <c r="Z333" s="31"/>
      <c r="AA333" s="32" t="str">
        <f t="shared" ref="AA333:AA432" si="7">IF(Y333="Euro",IF(ISBLANK(Z333),W333*3.25,W333*Z333),W333)</f>
        <v/>
      </c>
      <c r="AB333" s="30"/>
      <c r="AC333" s="30"/>
      <c r="AD333" s="30"/>
    </row>
    <row r="334" hidden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3" t="str">
        <f t="shared" si="7"/>
        <v/>
      </c>
      <c r="AB334" s="30"/>
      <c r="AC334" s="30"/>
      <c r="AD334" s="30"/>
    </row>
    <row r="335" hidden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3" t="str">
        <f t="shared" si="7"/>
        <v/>
      </c>
      <c r="AB335" s="30"/>
      <c r="AC335" s="30"/>
      <c r="AD335" s="30"/>
    </row>
    <row r="336" hidden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3" t="str">
        <f t="shared" si="7"/>
        <v/>
      </c>
      <c r="AB336" s="30"/>
      <c r="AC336" s="30"/>
      <c r="AD336" s="30"/>
    </row>
    <row r="337" hidden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3" t="str">
        <f t="shared" si="7"/>
        <v/>
      </c>
      <c r="AB337" s="30"/>
      <c r="AC337" s="30"/>
      <c r="AD337" s="30"/>
    </row>
    <row r="338" hidden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3" t="str">
        <f t="shared" si="7"/>
        <v/>
      </c>
      <c r="AB338" s="30"/>
      <c r="AC338" s="30"/>
      <c r="AD338" s="30"/>
    </row>
    <row r="339" hidden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3" t="str">
        <f t="shared" si="7"/>
        <v/>
      </c>
      <c r="AB339" s="30"/>
      <c r="AC339" s="30"/>
      <c r="AD339" s="30"/>
    </row>
    <row r="340" hidden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3" t="str">
        <f t="shared" si="7"/>
        <v/>
      </c>
      <c r="AB340" s="30"/>
      <c r="AC340" s="30"/>
      <c r="AD340" s="30"/>
    </row>
    <row r="341" hidden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3" t="str">
        <f t="shared" si="7"/>
        <v/>
      </c>
      <c r="AB341" s="30"/>
      <c r="AC341" s="30"/>
      <c r="AD341" s="30"/>
    </row>
    <row r="342" hidden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3" t="str">
        <f t="shared" si="7"/>
        <v/>
      </c>
      <c r="AB342" s="30"/>
      <c r="AC342" s="30"/>
      <c r="AD342" s="30"/>
    </row>
    <row r="343" hidden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3" t="str">
        <f t="shared" si="7"/>
        <v/>
      </c>
      <c r="AB343" s="30"/>
      <c r="AC343" s="30"/>
      <c r="AD343" s="30"/>
    </row>
    <row r="344" hidden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3" t="str">
        <f t="shared" si="7"/>
        <v/>
      </c>
      <c r="AB344" s="30"/>
      <c r="AC344" s="30"/>
      <c r="AD344" s="30"/>
    </row>
    <row r="345" hidden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3" t="str">
        <f t="shared" si="7"/>
        <v/>
      </c>
      <c r="AB345" s="30"/>
      <c r="AC345" s="30"/>
      <c r="AD345" s="30"/>
    </row>
    <row r="346" hidden="1">
      <c r="A346" s="30"/>
      <c r="B346" s="30"/>
      <c r="C346" s="30"/>
      <c r="D346" s="30"/>
      <c r="E346" s="30"/>
      <c r="F346" s="30"/>
      <c r="G346" s="31"/>
      <c r="H346" s="31" t="s">
        <v>646</v>
      </c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3" t="str">
        <f t="shared" si="7"/>
        <v/>
      </c>
      <c r="AB346" s="30"/>
      <c r="AC346" s="30"/>
      <c r="AD346" s="30"/>
    </row>
    <row r="347" hidden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3" t="str">
        <f t="shared" si="7"/>
        <v/>
      </c>
      <c r="AB347" s="30"/>
      <c r="AC347" s="30"/>
      <c r="AD347" s="30"/>
    </row>
    <row r="348" hidden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3" t="str">
        <f t="shared" si="7"/>
        <v/>
      </c>
      <c r="AB348" s="30"/>
      <c r="AC348" s="30"/>
      <c r="AD348" s="30"/>
    </row>
    <row r="349" hidden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3" t="str">
        <f t="shared" si="7"/>
        <v/>
      </c>
      <c r="AB349" s="30"/>
      <c r="AC349" s="30"/>
      <c r="AD349" s="30"/>
    </row>
    <row r="350" hidden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3" t="str">
        <f t="shared" si="7"/>
        <v/>
      </c>
      <c r="AB350" s="30"/>
      <c r="AC350" s="30"/>
      <c r="AD350" s="30"/>
    </row>
    <row r="351" hidden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3" t="str">
        <f t="shared" si="7"/>
        <v/>
      </c>
      <c r="AB351" s="30"/>
      <c r="AC351" s="30"/>
      <c r="AD351" s="30"/>
    </row>
    <row r="352" hidden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3" t="str">
        <f t="shared" si="7"/>
        <v/>
      </c>
      <c r="AB352" s="30"/>
      <c r="AC352" s="30"/>
      <c r="AD352" s="30"/>
    </row>
    <row r="353" hidden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3" t="str">
        <f t="shared" si="7"/>
        <v/>
      </c>
      <c r="AB353" s="30"/>
      <c r="AC353" s="30"/>
      <c r="AD353" s="30"/>
    </row>
    <row r="354" hidden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3" t="str">
        <f t="shared" si="7"/>
        <v/>
      </c>
      <c r="AB354" s="30"/>
      <c r="AC354" s="30"/>
      <c r="AD354" s="30"/>
    </row>
    <row r="355" hidden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3" t="str">
        <f t="shared" si="7"/>
        <v/>
      </c>
      <c r="AB355" s="30"/>
      <c r="AC355" s="30"/>
      <c r="AD355" s="30"/>
    </row>
    <row r="356" hidden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3" t="str">
        <f t="shared" si="7"/>
        <v/>
      </c>
      <c r="AB356" s="30"/>
      <c r="AC356" s="30"/>
      <c r="AD356" s="30"/>
    </row>
    <row r="357" hidden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3" t="str">
        <f t="shared" si="7"/>
        <v/>
      </c>
      <c r="AB357" s="30"/>
      <c r="AC357" s="30"/>
      <c r="AD357" s="30"/>
    </row>
    <row r="358" hidden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3" t="str">
        <f t="shared" si="7"/>
        <v/>
      </c>
      <c r="AB358" s="30"/>
      <c r="AC358" s="30"/>
      <c r="AD358" s="30"/>
    </row>
    <row r="359" hidden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3" t="str">
        <f t="shared" si="7"/>
        <v/>
      </c>
      <c r="AB359" s="30"/>
      <c r="AC359" s="30"/>
      <c r="AD359" s="30"/>
    </row>
    <row r="360" hidden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3" t="str">
        <f t="shared" si="7"/>
        <v/>
      </c>
      <c r="AB360" s="30"/>
      <c r="AC360" s="30"/>
      <c r="AD360" s="30"/>
    </row>
    <row r="361" hidden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3" t="str">
        <f t="shared" si="7"/>
        <v/>
      </c>
      <c r="AB361" s="30"/>
      <c r="AC361" s="30"/>
      <c r="AD361" s="30"/>
    </row>
    <row r="362" hidden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3" t="str">
        <f t="shared" si="7"/>
        <v/>
      </c>
      <c r="AB362" s="30"/>
      <c r="AC362" s="30"/>
      <c r="AD362" s="30"/>
    </row>
    <row r="363" hidden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3" t="str">
        <f t="shared" si="7"/>
        <v/>
      </c>
      <c r="AB363" s="30"/>
      <c r="AC363" s="30"/>
      <c r="AD363" s="30"/>
    </row>
    <row r="364" hidden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3" t="str">
        <f t="shared" si="7"/>
        <v/>
      </c>
      <c r="AB364" s="30"/>
      <c r="AC364" s="30"/>
      <c r="AD364" s="30"/>
    </row>
    <row r="365" hidden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3" t="str">
        <f t="shared" si="7"/>
        <v/>
      </c>
      <c r="AB365" s="30"/>
      <c r="AC365" s="30"/>
      <c r="AD365" s="30"/>
    </row>
    <row r="366" hidden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3" t="str">
        <f t="shared" si="7"/>
        <v/>
      </c>
      <c r="AB366" s="30"/>
      <c r="AC366" s="30"/>
      <c r="AD366" s="30"/>
    </row>
    <row r="367" hidden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3" t="str">
        <f t="shared" si="7"/>
        <v/>
      </c>
      <c r="AB367" s="30"/>
      <c r="AC367" s="30"/>
      <c r="AD367" s="30"/>
    </row>
    <row r="368" hidden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3" t="str">
        <f t="shared" si="7"/>
        <v/>
      </c>
      <c r="AB368" s="30"/>
      <c r="AC368" s="30"/>
      <c r="AD368" s="30"/>
    </row>
    <row r="369" hidden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3" t="str">
        <f t="shared" si="7"/>
        <v/>
      </c>
      <c r="AB369" s="30"/>
      <c r="AC369" s="30"/>
      <c r="AD369" s="30"/>
    </row>
    <row r="370" hidden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 t="str">
        <f t="shared" si="7"/>
        <v/>
      </c>
      <c r="AB370" s="30"/>
      <c r="AC370" s="30"/>
      <c r="AD370" s="30"/>
    </row>
    <row r="371" hidden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 t="str">
        <f t="shared" si="7"/>
        <v/>
      </c>
      <c r="AB371" s="30"/>
      <c r="AC371" s="30"/>
      <c r="AD371" s="30"/>
    </row>
    <row r="372" hidden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 t="str">
        <f t="shared" si="7"/>
        <v/>
      </c>
      <c r="AB372" s="30"/>
      <c r="AC372" s="30"/>
      <c r="AD372" s="30"/>
    </row>
    <row r="373" hidden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 t="str">
        <f t="shared" si="7"/>
        <v/>
      </c>
      <c r="AB373" s="30"/>
      <c r="AC373" s="30"/>
      <c r="AD373" s="30"/>
    </row>
    <row r="374" hidden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 t="str">
        <f t="shared" si="7"/>
        <v/>
      </c>
      <c r="AB374" s="30"/>
      <c r="AC374" s="30"/>
      <c r="AD374" s="30"/>
    </row>
    <row r="375" hidden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 t="str">
        <f t="shared" si="7"/>
        <v/>
      </c>
      <c r="AB375" s="30"/>
      <c r="AC375" s="30"/>
      <c r="AD375" s="30"/>
    </row>
    <row r="376" hidden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 t="str">
        <f t="shared" si="7"/>
        <v/>
      </c>
      <c r="AB376" s="30"/>
      <c r="AC376" s="30"/>
      <c r="AD376" s="30"/>
    </row>
    <row r="377" hidden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 t="str">
        <f t="shared" si="7"/>
        <v/>
      </c>
      <c r="AB377" s="30"/>
      <c r="AC377" s="30"/>
      <c r="AD377" s="30"/>
    </row>
    <row r="378" hidden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 t="str">
        <f t="shared" si="7"/>
        <v/>
      </c>
      <c r="AB378" s="30"/>
      <c r="AC378" s="30"/>
      <c r="AD378" s="30"/>
    </row>
    <row r="379" hidden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 t="str">
        <f t="shared" si="7"/>
        <v/>
      </c>
      <c r="AB379" s="30"/>
      <c r="AC379" s="30"/>
      <c r="AD379" s="30"/>
    </row>
    <row r="380" hidden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 t="str">
        <f t="shared" si="7"/>
        <v/>
      </c>
      <c r="AB380" s="30"/>
      <c r="AC380" s="30"/>
      <c r="AD380" s="30"/>
    </row>
    <row r="381" hidden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 t="str">
        <f t="shared" si="7"/>
        <v/>
      </c>
      <c r="AB381" s="30"/>
      <c r="AC381" s="30"/>
      <c r="AD381" s="30"/>
    </row>
    <row r="382" hidden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 t="str">
        <f t="shared" si="7"/>
        <v/>
      </c>
      <c r="AB382" s="30"/>
      <c r="AC382" s="30"/>
      <c r="AD382" s="30"/>
    </row>
    <row r="383" hidden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 t="str">
        <f t="shared" si="7"/>
        <v/>
      </c>
      <c r="AB383" s="30"/>
      <c r="AC383" s="30"/>
      <c r="AD383" s="30"/>
    </row>
    <row r="384" hidden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 t="str">
        <f t="shared" si="7"/>
        <v/>
      </c>
      <c r="AB384" s="30"/>
      <c r="AC384" s="30"/>
      <c r="AD384" s="30"/>
    </row>
    <row r="385" hidden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 t="str">
        <f t="shared" si="7"/>
        <v/>
      </c>
      <c r="AB385" s="30"/>
      <c r="AC385" s="30"/>
      <c r="AD385" s="30"/>
    </row>
    <row r="386" hidden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 t="str">
        <f t="shared" si="7"/>
        <v/>
      </c>
      <c r="AB386" s="30"/>
      <c r="AC386" s="30"/>
      <c r="AD386" s="30"/>
    </row>
    <row r="387" hidden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 t="str">
        <f t="shared" si="7"/>
        <v/>
      </c>
      <c r="AB387" s="30"/>
      <c r="AC387" s="30"/>
      <c r="AD387" s="30"/>
    </row>
    <row r="388" hidden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 t="str">
        <f t="shared" si="7"/>
        <v/>
      </c>
      <c r="AB388" s="30"/>
      <c r="AC388" s="30"/>
      <c r="AD388" s="30"/>
    </row>
    <row r="389" hidden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 t="str">
        <f t="shared" si="7"/>
        <v/>
      </c>
      <c r="AB389" s="30"/>
      <c r="AC389" s="30"/>
      <c r="AD389" s="30"/>
    </row>
    <row r="390" hidden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 t="str">
        <f t="shared" si="7"/>
        <v/>
      </c>
      <c r="AB390" s="30"/>
      <c r="AC390" s="30"/>
      <c r="AD390" s="30"/>
    </row>
    <row r="391" hidden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 t="str">
        <f t="shared" si="7"/>
        <v/>
      </c>
      <c r="AB391" s="30"/>
      <c r="AC391" s="30"/>
      <c r="AD391" s="30"/>
    </row>
    <row r="392" hidden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 t="str">
        <f t="shared" si="7"/>
        <v/>
      </c>
      <c r="AB392" s="30"/>
      <c r="AC392" s="30"/>
      <c r="AD392" s="30"/>
    </row>
    <row r="393" hidden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 t="str">
        <f t="shared" si="7"/>
        <v/>
      </c>
      <c r="AB393" s="30"/>
      <c r="AC393" s="30"/>
      <c r="AD393" s="30"/>
    </row>
    <row r="394" hidden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 t="str">
        <f t="shared" si="7"/>
        <v/>
      </c>
      <c r="AB394" s="30"/>
      <c r="AC394" s="30"/>
      <c r="AD394" s="30"/>
    </row>
    <row r="395" hidden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 t="str">
        <f t="shared" si="7"/>
        <v/>
      </c>
      <c r="AB395" s="30"/>
      <c r="AC395" s="30"/>
      <c r="AD395" s="30"/>
    </row>
    <row r="396" hidden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 t="str">
        <f t="shared" si="7"/>
        <v/>
      </c>
      <c r="AB396" s="30"/>
      <c r="AC396" s="30"/>
      <c r="AD396" s="30"/>
    </row>
    <row r="397" hidden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 t="str">
        <f t="shared" si="7"/>
        <v/>
      </c>
      <c r="AB397" s="30"/>
      <c r="AC397" s="30"/>
      <c r="AD397" s="30"/>
    </row>
    <row r="398" hidden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 t="str">
        <f t="shared" si="7"/>
        <v/>
      </c>
      <c r="AB398" s="30"/>
      <c r="AC398" s="30"/>
      <c r="AD398" s="30"/>
    </row>
    <row r="399" hidden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 t="str">
        <f t="shared" si="7"/>
        <v/>
      </c>
      <c r="AB399" s="30"/>
      <c r="AC399" s="30"/>
      <c r="AD399" s="30"/>
    </row>
    <row r="400" hidden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 t="str">
        <f t="shared" si="7"/>
        <v/>
      </c>
      <c r="AB400" s="30"/>
      <c r="AC400" s="30"/>
      <c r="AD400" s="30"/>
    </row>
    <row r="401" hidden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 t="str">
        <f t="shared" si="7"/>
        <v/>
      </c>
      <c r="AB401" s="30"/>
      <c r="AC401" s="30"/>
      <c r="AD401" s="30"/>
    </row>
    <row r="402" hidden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 t="str">
        <f t="shared" si="7"/>
        <v/>
      </c>
      <c r="AB402" s="30"/>
      <c r="AC402" s="30"/>
      <c r="AD402" s="30"/>
    </row>
    <row r="403" hidden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 t="str">
        <f t="shared" si="7"/>
        <v/>
      </c>
      <c r="AB403" s="30"/>
      <c r="AC403" s="30"/>
      <c r="AD403" s="30"/>
    </row>
    <row r="404" hidden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 t="str">
        <f t="shared" si="7"/>
        <v/>
      </c>
      <c r="AB404" s="30"/>
      <c r="AC404" s="30"/>
      <c r="AD404" s="30"/>
    </row>
    <row r="405" hidden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 t="str">
        <f t="shared" si="7"/>
        <v/>
      </c>
      <c r="AB405" s="30"/>
      <c r="AC405" s="30"/>
      <c r="AD405" s="30"/>
    </row>
    <row r="406" hidden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 t="str">
        <f t="shared" si="7"/>
        <v/>
      </c>
      <c r="AB406" s="30"/>
      <c r="AC406" s="30"/>
      <c r="AD406" s="30"/>
    </row>
    <row r="407" hidden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 t="str">
        <f t="shared" si="7"/>
        <v/>
      </c>
      <c r="AB407" s="30"/>
      <c r="AC407" s="30"/>
      <c r="AD407" s="30"/>
    </row>
    <row r="408" hidden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 t="str">
        <f t="shared" si="7"/>
        <v/>
      </c>
      <c r="AB408" s="30"/>
      <c r="AC408" s="30"/>
      <c r="AD408" s="30"/>
    </row>
    <row r="409" hidden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 t="str">
        <f t="shared" si="7"/>
        <v/>
      </c>
      <c r="AB409" s="30"/>
      <c r="AC409" s="30"/>
      <c r="AD409" s="30"/>
    </row>
    <row r="410" hidden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 t="str">
        <f t="shared" si="7"/>
        <v/>
      </c>
      <c r="AB410" s="30"/>
      <c r="AC410" s="30"/>
      <c r="AD410" s="30"/>
    </row>
    <row r="411" hidden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 t="str">
        <f t="shared" si="7"/>
        <v/>
      </c>
      <c r="AB411" s="30"/>
      <c r="AC411" s="30"/>
      <c r="AD411" s="30"/>
    </row>
    <row r="412" hidden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 t="str">
        <f t="shared" si="7"/>
        <v/>
      </c>
      <c r="AB412" s="30"/>
      <c r="AC412" s="30"/>
      <c r="AD412" s="30"/>
    </row>
    <row r="413" hidden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 t="str">
        <f t="shared" si="7"/>
        <v/>
      </c>
      <c r="AB413" s="30"/>
      <c r="AC413" s="30"/>
      <c r="AD413" s="30"/>
    </row>
    <row r="414" hidden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 t="str">
        <f t="shared" si="7"/>
        <v/>
      </c>
      <c r="AB414" s="30"/>
      <c r="AC414" s="30"/>
      <c r="AD414" s="30"/>
    </row>
    <row r="415" hidden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 t="str">
        <f t="shared" si="7"/>
        <v/>
      </c>
      <c r="AB415" s="30"/>
      <c r="AC415" s="30"/>
      <c r="AD415" s="30"/>
    </row>
    <row r="416" hidden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 t="str">
        <f t="shared" si="7"/>
        <v/>
      </c>
      <c r="AB416" s="30"/>
      <c r="AC416" s="30"/>
      <c r="AD416" s="30"/>
    </row>
    <row r="417" hidden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 t="str">
        <f t="shared" si="7"/>
        <v/>
      </c>
      <c r="AB417" s="30"/>
      <c r="AC417" s="30"/>
      <c r="AD417" s="30"/>
    </row>
    <row r="418" hidden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 t="str">
        <f t="shared" si="7"/>
        <v/>
      </c>
      <c r="AB418" s="30"/>
      <c r="AC418" s="30"/>
      <c r="AD418" s="30"/>
    </row>
    <row r="419" hidden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 t="str">
        <f t="shared" si="7"/>
        <v/>
      </c>
      <c r="AB419" s="30"/>
      <c r="AC419" s="30"/>
      <c r="AD419" s="30"/>
    </row>
    <row r="420" hidden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 t="str">
        <f t="shared" si="7"/>
        <v/>
      </c>
      <c r="AB420" s="30"/>
      <c r="AC420" s="30"/>
      <c r="AD420" s="30"/>
    </row>
    <row r="421" hidden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 t="str">
        <f t="shared" si="7"/>
        <v/>
      </c>
      <c r="AB421" s="30"/>
      <c r="AC421" s="30"/>
      <c r="AD421" s="30"/>
    </row>
    <row r="422" hidden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 t="str">
        <f t="shared" si="7"/>
        <v/>
      </c>
      <c r="AB422" s="30"/>
      <c r="AC422" s="30"/>
      <c r="AD422" s="30"/>
    </row>
    <row r="423" hidden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 t="str">
        <f t="shared" si="7"/>
        <v/>
      </c>
      <c r="AB423" s="30"/>
      <c r="AC423" s="30"/>
      <c r="AD423" s="30"/>
    </row>
    <row r="424" hidden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 t="str">
        <f t="shared" si="7"/>
        <v/>
      </c>
      <c r="AB424" s="30"/>
      <c r="AC424" s="30"/>
      <c r="AD424" s="30"/>
    </row>
    <row r="425" hidden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 t="str">
        <f t="shared" si="7"/>
        <v/>
      </c>
      <c r="AB425" s="30"/>
      <c r="AC425" s="30"/>
      <c r="AD425" s="30"/>
    </row>
    <row r="426" hidden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 t="str">
        <f t="shared" si="7"/>
        <v/>
      </c>
      <c r="AB426" s="30"/>
      <c r="AC426" s="30"/>
      <c r="AD426" s="30"/>
    </row>
    <row r="427" hidden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 t="str">
        <f t="shared" si="7"/>
        <v/>
      </c>
      <c r="AB427" s="30"/>
      <c r="AC427" s="30"/>
      <c r="AD427" s="30"/>
    </row>
    <row r="428" hidden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 t="str">
        <f t="shared" si="7"/>
        <v/>
      </c>
      <c r="AB428" s="30"/>
      <c r="AC428" s="30"/>
      <c r="AD428" s="30"/>
    </row>
    <row r="429" hidden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 t="str">
        <f t="shared" si="7"/>
        <v/>
      </c>
      <c r="AB429" s="30"/>
      <c r="AC429" s="30"/>
      <c r="AD429" s="30"/>
    </row>
    <row r="430" hidden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 t="str">
        <f t="shared" si="7"/>
        <v/>
      </c>
      <c r="AB430" s="30"/>
      <c r="AC430" s="30"/>
      <c r="AD430" s="30"/>
    </row>
    <row r="431" hidden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 t="str">
        <f t="shared" si="7"/>
        <v/>
      </c>
      <c r="AB431" s="30"/>
      <c r="AC431" s="30"/>
      <c r="AD431" s="30"/>
    </row>
    <row r="432" hidden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 t="str">
        <f t="shared" si="7"/>
        <v/>
      </c>
      <c r="AB432" s="30"/>
      <c r="AC432" s="30"/>
      <c r="AD432" s="30"/>
    </row>
  </sheetData>
  <autoFilter ref="$A$1:$AD$432">
    <filterColumn colId="7">
      <filters>
        <filter val="Mounir (Tvx)"/>
      </filters>
    </filterColumn>
  </autoFilter>
  <hyperlinks>
    <hyperlink r:id="rId1" ref="M7"/>
    <hyperlink r:id="rId2" ref="M9"/>
    <hyperlink r:id="rId3" ref="M11"/>
    <hyperlink r:id="rId4" ref="M13"/>
    <hyperlink r:id="rId5" ref="M16"/>
    <hyperlink r:id="rId6" ref="M17"/>
    <hyperlink r:id="rId7" ref="M18"/>
    <hyperlink r:id="rId8" ref="M19"/>
    <hyperlink r:id="rId9" ref="M20"/>
    <hyperlink r:id="rId10" ref="M24"/>
    <hyperlink r:id="rId11" ref="M29"/>
    <hyperlink r:id="rId12" ref="M32"/>
    <hyperlink r:id="rId13" ref="M33"/>
    <hyperlink r:id="rId14" ref="M40"/>
    <hyperlink r:id="rId15" ref="M41"/>
    <hyperlink r:id="rId16" ref="M42"/>
    <hyperlink r:id="rId17" ref="M43"/>
    <hyperlink r:id="rId18" ref="M48"/>
    <hyperlink r:id="rId19" ref="M57"/>
    <hyperlink r:id="rId20" ref="M60"/>
    <hyperlink r:id="rId21" ref="M73"/>
    <hyperlink r:id="rId22" ref="M74"/>
    <hyperlink r:id="rId23" ref="AD78"/>
    <hyperlink r:id="rId24" ref="M87"/>
    <hyperlink r:id="rId25" ref="M88"/>
    <hyperlink r:id="rId26" ref="M90"/>
    <hyperlink r:id="rId27" ref="M92"/>
    <hyperlink r:id="rId28" ref="M95"/>
    <hyperlink r:id="rId29" ref="M96"/>
    <hyperlink r:id="rId30" ref="M97"/>
    <hyperlink r:id="rId31" ref="M98"/>
    <hyperlink r:id="rId32" ref="T120"/>
    <hyperlink r:id="rId33" ref="T121"/>
    <hyperlink r:id="rId34" ref="T122"/>
    <hyperlink r:id="rId35" ref="T128"/>
    <hyperlink r:id="rId36" ref="T129"/>
    <hyperlink r:id="rId37" ref="T130"/>
    <hyperlink r:id="rId38" ref="T132"/>
    <hyperlink r:id="rId39" ref="T133"/>
    <hyperlink r:id="rId40" ref="M138"/>
    <hyperlink r:id="rId41" ref="M139"/>
    <hyperlink r:id="rId42" ref="M140"/>
    <hyperlink r:id="rId43" ref="M141"/>
    <hyperlink r:id="rId44" ref="M142"/>
    <hyperlink r:id="rId45" ref="M144"/>
    <hyperlink r:id="rId46" ref="T171"/>
    <hyperlink r:id="rId47" ref="T172"/>
    <hyperlink r:id="rId48" ref="T173"/>
    <hyperlink r:id="rId49" ref="T174"/>
    <hyperlink r:id="rId50" ref="T175"/>
    <hyperlink r:id="rId51" ref="T176"/>
    <hyperlink r:id="rId52" ref="T177"/>
    <hyperlink r:id="rId53" ref="T178"/>
    <hyperlink r:id="rId54" ref="T179"/>
    <hyperlink r:id="rId55" ref="T180"/>
    <hyperlink r:id="rId56" ref="T185"/>
    <hyperlink r:id="rId57" ref="M190"/>
    <hyperlink r:id="rId58" ref="M198"/>
    <hyperlink r:id="rId59" ref="AD212"/>
    <hyperlink r:id="rId60" ref="M215"/>
    <hyperlink r:id="rId61" ref="M227"/>
    <hyperlink r:id="rId62" ref="T228"/>
    <hyperlink r:id="rId63" ref="M232"/>
    <hyperlink r:id="rId64" ref="M248"/>
    <hyperlink r:id="rId65" ref="M251"/>
    <hyperlink r:id="rId66" ref="M267"/>
    <hyperlink r:id="rId67" ref="T286"/>
    <hyperlink r:id="rId68" ref="M289"/>
    <hyperlink r:id="rId69" ref="T319"/>
    <hyperlink r:id="rId70" ref="M324"/>
    <hyperlink r:id="rId71" ref="M327"/>
    <hyperlink r:id="rId72" ref="M332"/>
  </hyperlinks>
  <drawing r:id="rId73"/>
</worksheet>
</file>